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122615\Downloads\"/>
    </mc:Choice>
  </mc:AlternateContent>
  <xr:revisionPtr revIDLastSave="0" documentId="13_ncr:1_{00220BAD-73C6-4570-989D-4932B8123979}" xr6:coauthVersionLast="47" xr6:coauthVersionMax="47" xr10:uidLastSave="{00000000-0000-0000-0000-000000000000}"/>
  <bookViews>
    <workbookView xWindow="-9750" yWindow="-16320" windowWidth="29040" windowHeight="15720" tabRatio="500" xr2:uid="{00000000-000D-0000-FFFF-FFFF00000000}"/>
  </bookViews>
  <sheets>
    <sheet name="表紙" sheetId="1" r:id="rId1"/>
    <sheet name="試験仕様" sheetId="2" r:id="rId2"/>
    <sheet name="テスト項目一覧" sheetId="3" r:id="rId3"/>
  </sheets>
  <definedNames>
    <definedName name="_xlnm._FilterDatabase" localSheetId="2" hidden="1">テスト項目一覧!$E$1:$E$228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32" i="1" l="1"/>
  <c r="B31" i="1"/>
  <c r="B30" i="1"/>
  <c r="B29" i="1"/>
  <c r="B28" i="1"/>
</calcChain>
</file>

<file path=xl/sharedStrings.xml><?xml version="1.0" encoding="utf-8"?>
<sst xmlns="http://schemas.openxmlformats.org/spreadsheetml/2006/main" count="2494" uniqueCount="1114">
  <si>
    <t>結合試験 仕様書兼実施項目書</t>
  </si>
  <si>
    <r>
      <rPr>
        <sz val="11"/>
        <rFont val="Yu Gothic"/>
        <family val="3"/>
        <charset val="128"/>
      </rPr>
      <t>GanttForge</t>
    </r>
    <r>
      <rPr>
        <sz val="11"/>
        <rFont val="Noto Sans CJK SC"/>
        <family val="2"/>
      </rPr>
      <t>再現アプリ（単一</t>
    </r>
    <r>
      <rPr>
        <sz val="11"/>
        <rFont val="Yu Gothic"/>
        <family val="3"/>
        <charset val="128"/>
      </rPr>
      <t>HTML</t>
    </r>
    <r>
      <rPr>
        <sz val="11"/>
        <rFont val="Noto Sans CJK SC"/>
        <family val="2"/>
      </rPr>
      <t>＋</t>
    </r>
    <r>
      <rPr>
        <sz val="11"/>
        <rFont val="Yu Gothic"/>
        <family val="3"/>
        <charset val="128"/>
      </rPr>
      <t>IndexedDB</t>
    </r>
    <r>
      <rPr>
        <sz val="11"/>
        <rFont val="Noto Sans CJK SC"/>
        <family val="2"/>
      </rPr>
      <t>）</t>
    </r>
  </si>
  <si>
    <t>ドキュメント名</t>
  </si>
  <si>
    <t>対象システム</t>
  </si>
  <si>
    <r>
      <rPr>
        <sz val="10"/>
        <rFont val="Yu Gothic"/>
        <family val="3"/>
        <charset val="128"/>
      </rPr>
      <t>GanttForge</t>
    </r>
    <r>
      <rPr>
        <sz val="10"/>
        <rFont val="Noto Sans CJK SC"/>
        <family val="2"/>
      </rPr>
      <t>再現アプリ（単一</t>
    </r>
    <r>
      <rPr>
        <sz val="10"/>
        <rFont val="Yu Gothic"/>
        <family val="3"/>
        <charset val="128"/>
      </rPr>
      <t>HTML</t>
    </r>
    <r>
      <rPr>
        <sz val="10"/>
        <rFont val="Noto Sans CJK SC"/>
        <family val="2"/>
      </rPr>
      <t>＋</t>
    </r>
    <r>
      <rPr>
        <sz val="10"/>
        <rFont val="Yu Gothic"/>
        <family val="3"/>
        <charset val="128"/>
      </rPr>
      <t>IndexedDB</t>
    </r>
    <r>
      <rPr>
        <sz val="10"/>
        <rFont val="Noto Sans CJK SC"/>
        <family val="2"/>
      </rPr>
      <t>）</t>
    </r>
  </si>
  <si>
    <t>版数</t>
  </si>
  <si>
    <t>Ver.1.5</t>
  </si>
  <si>
    <t>作成日</t>
  </si>
  <si>
    <t>（記入）</t>
  </si>
  <si>
    <t>作成者</t>
  </si>
  <si>
    <t>細谷</t>
  </si>
  <si>
    <t>レビュー者</t>
  </si>
  <si>
    <t>テスト担当</t>
  </si>
  <si>
    <t>確認方式</t>
  </si>
  <si>
    <t>ブラウザ手動確認（DevTools &gt; Application &gt; IndexedDB で状態確認）</t>
  </si>
  <si>
    <t>改訂履歴（要点メモ）</t>
  </si>
  <si>
    <t>版</t>
  </si>
  <si>
    <t>変更者</t>
  </si>
  <si>
    <t>改定理由</t>
  </si>
  <si>
    <t>〜1.2</t>
  </si>
  <si>
    <t>第1改定：粗いIT項目を、ボタン／画面パーツ単位の細かい観点（大-中-小）へ再構造化。前提・操作・期待をお手本＋実装から記入。</t>
  </si>
  <si>
    <r>
      <rPr>
        <sz val="10"/>
        <rFont val="Yu Gothic"/>
        <family val="3"/>
        <charset val="128"/>
      </rPr>
      <t>1.3</t>
    </r>
    <r>
      <rPr>
        <sz val="10"/>
        <rFont val="Noto Sans CJK SC"/>
        <family val="2"/>
      </rPr>
      <t>〜</t>
    </r>
    <r>
      <rPr>
        <sz val="10"/>
        <rFont val="Yu Gothic"/>
        <family val="3"/>
        <charset val="128"/>
      </rPr>
      <t>1.4</t>
    </r>
  </si>
  <si>
    <t>第2改定：機能抜けの項目をAIで追加（子スケジュール追加・3階層制限・マイルストーン削除・スクロール同期ほか）。前提条件にパネル／モーダル開起を集約。</t>
  </si>
  <si>
    <t>1.5</t>
  </si>
  <si>
    <t>第3改定：大項目を機能実態に合わせ再編（共通右サイドパネル操作を新設、WBS／タイムライン整理）。認識不足を手動ブラウザ確認で補完し、実施系列を追加して兼実施項目書化。</t>
  </si>
  <si>
    <t>凡例（セル色の意味）</t>
  </si>
  <si>
    <t>水色：追加実装検討</t>
  </si>
  <si>
    <t>赤色：認識不足を手動ブラウザ確認で補ったもの</t>
  </si>
  <si>
    <t>緑：AIによって追加されたテスト項目</t>
  </si>
  <si>
    <t>作成方針メモ</t>
  </si>
  <si>
    <t>ボタンごと・画面パーツ名ごとに項目を作成した。</t>
  </si>
  <si>
    <t>進捗サマリー（判定欄を埋めると自動集計）</t>
  </si>
  <si>
    <t>総項目数</t>
  </si>
  <si>
    <r>
      <rPr>
        <b/>
        <sz val="10"/>
        <rFont val="Yu Gothic"/>
        <family val="3"/>
        <charset val="128"/>
      </rPr>
      <t>OK</t>
    </r>
    <r>
      <rPr>
        <b/>
        <sz val="10"/>
        <rFont val="Noto Sans CJK SC"/>
        <family val="2"/>
      </rPr>
      <t>（合格）</t>
    </r>
  </si>
  <si>
    <r>
      <rPr>
        <b/>
        <sz val="10"/>
        <rFont val="Yu Gothic"/>
        <family val="3"/>
        <charset val="128"/>
      </rPr>
      <t>NG</t>
    </r>
    <r>
      <rPr>
        <b/>
        <sz val="10"/>
        <rFont val="Noto Sans CJK SC"/>
        <family val="2"/>
      </rPr>
      <t>（不合格）</t>
    </r>
  </si>
  <si>
    <t>未実施（−）</t>
  </si>
  <si>
    <t>保留（保）</t>
  </si>
  <si>
    <t>試験仕様（前提・範囲・環境・判定基準）</t>
  </si>
  <si>
    <r>
      <rPr>
        <b/>
        <sz val="11"/>
        <color rgb="FFFFFFFF"/>
        <rFont val="Yu Gothic"/>
        <family val="3"/>
        <charset val="128"/>
      </rPr>
      <t xml:space="preserve">1. </t>
    </r>
    <r>
      <rPr>
        <b/>
        <sz val="11"/>
        <color rgb="FFFFFFFF"/>
        <rFont val="Noto Sans CJK SC"/>
        <family val="2"/>
      </rPr>
      <t>概要</t>
    </r>
  </si>
  <si>
    <t>本ドキュメントは、GanttForge再現アプリ（index.html 単一ファイル／IndexedDBをストレージ層）における結合試験の仕様と実施項目を定義する。単体試験が各CRUD関数単独の動作を確認するのに対し、本結合試験では『画面操作 → IndexedDB書き込み → 再取得 → 再描画』の流れと、ストアをまたぐ連動処理（プロジェクト切替による全ビュー再描画・日付の親子伝播・連鎖削除・変更履歴記録・スナップショット復元・データ入出力）が設計どおり動作するかを確認する。ブラウザ完結型のため『モジュール間連携』を『画面／各ストア／再描画処理の連携』と読み替える。【兼実施項目書】各行は、設計時に埋める列（観点・手順・期待結果）と実施時に埋める列（実施日・実施者・判定・証跡・不具合票）を併せ持つ。【テスト方式】ビッグバン結合（Big Bang）。単一HTMLに全機能実装済みのクライアント単体アプリのため、完成状態のまま外側から各連携をまとめて確認する。切り分けの難しさは、大項目（01〜14）での分割・単体試験・DevToolsでの各ストア確認で補う。</t>
  </si>
  <si>
    <r>
      <rPr>
        <b/>
        <sz val="11"/>
        <color rgb="FFFFFFFF"/>
        <rFont val="Yu Gothic"/>
        <family val="3"/>
        <charset val="128"/>
      </rPr>
      <t xml:space="preserve">2. </t>
    </r>
    <r>
      <rPr>
        <b/>
        <sz val="11"/>
        <color rgb="FFFFFFFF"/>
        <rFont val="Noto Sans CJK SC"/>
        <family val="2"/>
      </rPr>
      <t>テスト範囲</t>
    </r>
  </si>
  <si>
    <t>【対象】プロジェクト管理（作成・切替・連鎖削除・ロック・空状態）／スケジュールCRUDとガント再描画／日付の親子連動／連鎖削除／変更履歴と戻す（記録対象4ストア：projects/schedules/tasks/issues。comments等は非記録）／データ入出力／スナップショット保存・比較・復元／即時メモ・メモ／コメント（スケジュール連動）／マインドマップ・タスク管理／WBSパネル操作／共通右サイドパネル操作／タイムライン操作／バリデーション・境界。大項目01〜14で分割する。
【対象外】各CRUD関数単独の動作（単体試験でカバー済み）／外部システム連携・API認証（本アプリに存在しない）／性能・負荷（研修範囲外）／ブラウザ互換性の網羅的検証（実施ブラウザは1種を指定）。</t>
  </si>
  <si>
    <r>
      <rPr>
        <b/>
        <sz val="11"/>
        <color rgb="FFFFFFFF"/>
        <rFont val="Yu Gothic"/>
        <family val="3"/>
        <charset val="128"/>
      </rPr>
      <t xml:space="preserve">3. </t>
    </r>
    <r>
      <rPr>
        <b/>
        <sz val="11"/>
        <color rgb="FFFFFFFF"/>
        <rFont val="Noto Sans CJK SC"/>
        <family val="2"/>
      </rPr>
      <t>前提条件</t>
    </r>
  </si>
  <si>
    <t>・対象コードは指定コミット（試験環境に記載）の index.html を使用する。参照実装：072310index.html。
・IndexedDBは開始前に DevTools &gt; Application &gt; Storage &gt; Clear site data で初期化し、下記の初期データを投入した状態を『初期状態』とする。
・テスト用初期データ：プロジェクト2件以上（切替試験のため／開始日・終了日・マイルストーン設定済み）／スケジュール階層（親1・子2・孫1）を最低1系統／タスク数件／マインドマップのノード数件／スナップショット1件。
・変更履歴（changelog）は初期状態では空とする（ログ増分を数える試験があるため）。</t>
  </si>
  <si>
    <r>
      <rPr>
        <b/>
        <sz val="11"/>
        <color rgb="FFFFFFFF"/>
        <rFont val="Yu Gothic"/>
        <family val="3"/>
        <charset val="128"/>
      </rPr>
      <t xml:space="preserve">4. </t>
    </r>
    <r>
      <rPr>
        <b/>
        <sz val="11"/>
        <color rgb="FFFFFFFF"/>
        <rFont val="Noto Sans CJK SC"/>
        <family val="2"/>
      </rPr>
      <t>観点区分の定義（重要）</t>
    </r>
  </si>
  <si>
    <t>本仕様は「種別（正常/異常）」ではなく「観点区分＝確認先」で分類する。【表示】画面に出る／【非表示】画面から消える・無効化／【DB】DevTools&gt;IndexedDBのストア反映／【遷移】画面遷移／【履歴】変更履歴に記録／【データ出力】ファイルの出力＞自動ダウンロード。
異常系（未入力・境界）は種別を作らず、観察できる結果＝【表示】（アラート等）で表す。DBに残らないことも確認したい場合は【DB】無変更の行を別に足す。
※項目はボタンごと・画面パーツ名ごとに作成している。
※既知の非整合（幽霊レコード等）は種別ではなく期待結果・備考で明示する（バグと誤判定しないため）。</t>
  </si>
  <si>
    <r>
      <rPr>
        <b/>
        <sz val="11"/>
        <color rgb="FFFFFFFF"/>
        <rFont val="Yu Gothic"/>
        <family val="3"/>
        <charset val="128"/>
      </rPr>
      <t xml:space="preserve">5. </t>
    </r>
    <r>
      <rPr>
        <b/>
        <sz val="11"/>
        <color rgb="FFFFFFFF"/>
        <rFont val="Noto Sans CJK SC"/>
        <family val="2"/>
      </rPr>
      <t>テスト環境</t>
    </r>
  </si>
  <si>
    <t>実行方法：index.html をブラウザで開く（file:// またはローカルサーバ）。
確認方式：ブラウザ手動確認。
ブラウザ・版：（記入 例 Chrome 1XX）／OS：（記入）／ストレージ：IndexedDB（DevTools &gt; Application &gt; IndexedDB で確認）／対象コミット：（記入 Gitハッシュ）／対象ファイル：index.html（参照実装 072310index.html）。</t>
  </si>
  <si>
    <r>
      <rPr>
        <b/>
        <sz val="11"/>
        <color rgb="FFFFFFFF"/>
        <rFont val="Yu Gothic"/>
        <family val="3"/>
        <charset val="128"/>
      </rPr>
      <t xml:space="preserve">6. </t>
    </r>
    <r>
      <rPr>
        <b/>
        <sz val="11"/>
        <color rgb="FFFFFFFF"/>
        <rFont val="Noto Sans CJK SC"/>
        <family val="2"/>
      </rPr>
      <t>テスト実施手順</t>
    </r>
  </si>
  <si>
    <r>
      <rPr>
        <sz val="10"/>
        <rFont val="Yu Gothic"/>
        <family val="3"/>
        <charset val="128"/>
      </rPr>
      <t xml:space="preserve">1. </t>
    </r>
    <r>
      <rPr>
        <sz val="10"/>
        <rFont val="Noto Sans CJK SC"/>
        <family val="2"/>
      </rPr>
      <t xml:space="preserve">対象コミットの </t>
    </r>
    <r>
      <rPr>
        <sz val="10"/>
        <rFont val="Yu Gothic"/>
        <family val="3"/>
        <charset val="128"/>
      </rPr>
      <t xml:space="preserve">index.html </t>
    </r>
    <r>
      <rPr>
        <sz val="10"/>
        <rFont val="Noto Sans CJK SC"/>
        <family val="2"/>
      </rPr>
      <t xml:space="preserve">をブラウザで開く。
</t>
    </r>
    <r>
      <rPr>
        <sz val="10"/>
        <rFont val="Yu Gothic"/>
        <family val="3"/>
        <charset val="128"/>
      </rPr>
      <t>2. DevTools</t>
    </r>
    <r>
      <rPr>
        <sz val="10"/>
        <rFont val="Noto Sans CJK SC"/>
        <family val="2"/>
      </rPr>
      <t>（</t>
    </r>
    <r>
      <rPr>
        <sz val="10"/>
        <rFont val="Yu Gothic"/>
        <family val="3"/>
        <charset val="128"/>
      </rPr>
      <t>F12</t>
    </r>
    <r>
      <rPr>
        <sz val="10"/>
        <rFont val="Noto Sans CJK SC"/>
        <family val="2"/>
      </rPr>
      <t xml:space="preserve">）を開き </t>
    </r>
    <r>
      <rPr>
        <sz val="10"/>
        <rFont val="Yu Gothic"/>
        <family val="3"/>
        <charset val="128"/>
      </rPr>
      <t xml:space="preserve">Application &gt; IndexedDB &gt; GanttForgeDB </t>
    </r>
    <r>
      <rPr>
        <sz val="10"/>
        <rFont val="Noto Sans CJK SC"/>
        <family val="2"/>
      </rPr>
      <t xml:space="preserve">を展開し常時表示にする。
</t>
    </r>
    <r>
      <rPr>
        <sz val="10"/>
        <rFont val="Yu Gothic"/>
        <family val="3"/>
        <charset val="128"/>
      </rPr>
      <t xml:space="preserve">3. Clear site data </t>
    </r>
    <r>
      <rPr>
        <sz val="10"/>
        <rFont val="Noto Sans CJK SC"/>
        <family val="2"/>
      </rPr>
      <t>で</t>
    </r>
    <r>
      <rPr>
        <sz val="10"/>
        <rFont val="Yu Gothic"/>
        <family val="3"/>
        <charset val="128"/>
      </rPr>
      <t>DB</t>
    </r>
    <r>
      <rPr>
        <sz val="10"/>
        <rFont val="Noto Sans CJK SC"/>
        <family val="2"/>
      </rPr>
      <t xml:space="preserve">を初期化し、初期データを投入する。
</t>
    </r>
    <r>
      <rPr>
        <sz val="10"/>
        <rFont val="Yu Gothic"/>
        <family val="3"/>
        <charset val="128"/>
      </rPr>
      <t xml:space="preserve">4. </t>
    </r>
    <r>
      <rPr>
        <sz val="10"/>
        <rFont val="Noto Sans CJK SC"/>
        <family val="2"/>
      </rPr>
      <t>各テスト</t>
    </r>
    <r>
      <rPr>
        <sz val="10"/>
        <rFont val="Yu Gothic"/>
        <family val="3"/>
        <charset val="128"/>
      </rPr>
      <t>ID</t>
    </r>
    <r>
      <rPr>
        <sz val="10"/>
        <rFont val="Noto Sans CJK SC"/>
        <family val="2"/>
      </rPr>
      <t xml:space="preserve">の操作手順を上から順に実行する。
</t>
    </r>
    <r>
      <rPr>
        <sz val="10"/>
        <rFont val="Yu Gothic"/>
        <family val="3"/>
        <charset val="128"/>
      </rPr>
      <t xml:space="preserve">5. </t>
    </r>
    <r>
      <rPr>
        <sz val="10"/>
        <rFont val="Noto Sans CJK SC"/>
        <family val="2"/>
      </rPr>
      <t>画面表示と</t>
    </r>
    <r>
      <rPr>
        <sz val="10"/>
        <rFont val="Yu Gothic"/>
        <family val="3"/>
        <charset val="128"/>
      </rPr>
      <t>IndexedDB</t>
    </r>
    <r>
      <rPr>
        <sz val="10"/>
        <rFont val="Noto Sans CJK SC"/>
        <family val="2"/>
      </rPr>
      <t>の中身の両方を確認し、判定（</t>
    </r>
    <r>
      <rPr>
        <sz val="10"/>
        <rFont val="Yu Gothic"/>
        <family val="3"/>
        <charset val="128"/>
      </rPr>
      <t>OK/NG</t>
    </r>
    <r>
      <rPr>
        <sz val="10"/>
        <rFont val="Noto Sans CJK SC"/>
        <family val="2"/>
      </rPr>
      <t xml:space="preserve">）を記録する。
</t>
    </r>
    <r>
      <rPr>
        <sz val="10"/>
        <rFont val="Yu Gothic"/>
        <family val="3"/>
        <charset val="128"/>
      </rPr>
      <t xml:space="preserve">6. </t>
    </r>
    <r>
      <rPr>
        <sz val="10"/>
        <rFont val="Noto Sans CJK SC"/>
        <family val="2"/>
      </rPr>
      <t>証跡として操作後の画面キャプチャと、必要に応じ</t>
    </r>
    <r>
      <rPr>
        <sz val="10"/>
        <rFont val="Yu Gothic"/>
        <family val="3"/>
        <charset val="128"/>
      </rPr>
      <t>IndexedDB</t>
    </r>
    <r>
      <rPr>
        <sz val="10"/>
        <rFont val="Noto Sans CJK SC"/>
        <family val="2"/>
      </rPr>
      <t xml:space="preserve">のキャプチャを保存する。
</t>
    </r>
    <r>
      <rPr>
        <sz val="10"/>
        <rFont val="Yu Gothic"/>
        <family val="3"/>
        <charset val="128"/>
      </rPr>
      <t>7. NG</t>
    </r>
    <r>
      <rPr>
        <sz val="10"/>
        <rFont val="Noto Sans CJK SC"/>
        <family val="2"/>
      </rPr>
      <t>項目は不具合票を起票する。
【</t>
    </r>
    <r>
      <rPr>
        <sz val="10"/>
        <rFont val="Yu Gothic"/>
        <family val="3"/>
        <charset val="128"/>
      </rPr>
      <t>DB</t>
    </r>
    <r>
      <rPr>
        <sz val="10"/>
        <rFont val="Noto Sans CJK SC"/>
        <family val="2"/>
      </rPr>
      <t xml:space="preserve">確認の共通操作（各項目の期待結果はこの操作を前提に記述）】
</t>
    </r>
    <r>
      <rPr>
        <sz val="10"/>
        <rFont val="Yu Gothic"/>
        <family val="3"/>
        <charset val="128"/>
      </rPr>
      <t xml:space="preserve">(a) </t>
    </r>
    <r>
      <rPr>
        <sz val="10"/>
        <rFont val="Noto Sans CJK SC"/>
        <family val="2"/>
      </rPr>
      <t>見たいストア名（</t>
    </r>
    <r>
      <rPr>
        <sz val="10"/>
        <rFont val="Yu Gothic"/>
        <family val="3"/>
        <charset val="128"/>
      </rPr>
      <t xml:space="preserve">schedules / changelog / comments </t>
    </r>
    <r>
      <rPr>
        <sz val="10"/>
        <rFont val="Noto Sans CJK SC"/>
        <family val="2"/>
      </rPr>
      <t xml:space="preserve">等）をクリックすると右側に全レコードが一覧表示される。
</t>
    </r>
    <r>
      <rPr>
        <sz val="10"/>
        <rFont val="Yu Gothic"/>
        <family val="3"/>
        <charset val="128"/>
      </rPr>
      <t xml:space="preserve">(b) </t>
    </r>
    <r>
      <rPr>
        <sz val="10"/>
        <rFont val="Noto Sans CJK SC"/>
        <family val="2"/>
      </rPr>
      <t xml:space="preserve">各行 </t>
    </r>
    <r>
      <rPr>
        <sz val="10"/>
        <rFont val="Yu Gothic"/>
        <family val="3"/>
        <charset val="128"/>
      </rPr>
      <t xml:space="preserve">Value </t>
    </r>
    <r>
      <rPr>
        <sz val="10"/>
        <rFont val="Noto Sans CJK SC"/>
        <family val="2"/>
      </rPr>
      <t>列の先頭『▶』でそのレコードの全フィールド（</t>
    </r>
    <r>
      <rPr>
        <sz val="10"/>
        <rFont val="Yu Gothic"/>
        <family val="3"/>
        <charset val="128"/>
      </rPr>
      <t xml:space="preserve">id, action, changes, snapshot </t>
    </r>
    <r>
      <rPr>
        <sz val="10"/>
        <rFont val="Noto Sans CJK SC"/>
        <family val="2"/>
      </rPr>
      <t xml:space="preserve">等）が展開される。
</t>
    </r>
    <r>
      <rPr>
        <sz val="10"/>
        <rFont val="Yu Gothic"/>
        <family val="3"/>
        <charset val="128"/>
      </rPr>
      <t xml:space="preserve">(c) </t>
    </r>
    <r>
      <rPr>
        <sz val="10"/>
        <rFont val="Noto Sans CJK SC"/>
        <family val="2"/>
      </rPr>
      <t xml:space="preserve">ストア名の下の </t>
    </r>
    <r>
      <rPr>
        <sz val="10"/>
        <rFont val="Yu Gothic"/>
        <family val="3"/>
        <charset val="128"/>
      </rPr>
      <t xml:space="preserve">by_projectId / by_parentId / by_taskId </t>
    </r>
    <r>
      <rPr>
        <sz val="10"/>
        <rFont val="Noto Sans CJK SC"/>
        <family val="2"/>
      </rPr>
      <t xml:space="preserve">は『インデックス』。絞り込み・並べ替え用。
</t>
    </r>
    <r>
      <rPr>
        <sz val="10"/>
        <rFont val="Yu Gothic"/>
        <family val="3"/>
        <charset val="128"/>
      </rPr>
      <t xml:space="preserve">(d) </t>
    </r>
    <r>
      <rPr>
        <sz val="10"/>
        <rFont val="Noto Sans CJK SC"/>
        <family val="2"/>
      </rPr>
      <t xml:space="preserve">画面を操作しても一覧は自動更新されない。更新ボタン（⟳）を押してから確認する。
</t>
    </r>
    <r>
      <rPr>
        <sz val="10"/>
        <rFont val="Yu Gothic"/>
        <family val="3"/>
        <charset val="128"/>
      </rPr>
      <t xml:space="preserve">(e) </t>
    </r>
    <r>
      <rPr>
        <sz val="10"/>
        <rFont val="Noto Sans CJK SC"/>
        <family val="2"/>
      </rPr>
      <t>ログの増減を数える項目では、操作前にレコード件数を控えておく。
【エビデンス命名規則】</t>
    </r>
    <r>
      <rPr>
        <sz val="10"/>
        <rFont val="Yu Gothic"/>
        <family val="3"/>
        <charset val="128"/>
      </rPr>
      <t>&lt;</t>
    </r>
    <r>
      <rPr>
        <sz val="10"/>
        <rFont val="Noto Sans CJK SC"/>
        <family val="2"/>
      </rPr>
      <t>項目</t>
    </r>
    <r>
      <rPr>
        <sz val="10"/>
        <rFont val="Yu Gothic"/>
        <family val="3"/>
        <charset val="128"/>
      </rPr>
      <t>ID&gt;_&lt;</t>
    </r>
    <r>
      <rPr>
        <sz val="10"/>
        <rFont val="Noto Sans CJK SC"/>
        <family val="2"/>
      </rPr>
      <t>連番</t>
    </r>
    <r>
      <rPr>
        <sz val="10"/>
        <rFont val="Yu Gothic"/>
        <family val="3"/>
        <charset val="128"/>
      </rPr>
      <t>&gt;_&lt;</t>
    </r>
    <r>
      <rPr>
        <sz val="10"/>
        <rFont val="Noto Sans CJK SC"/>
        <family val="2"/>
      </rPr>
      <t xml:space="preserve">画面 </t>
    </r>
    <r>
      <rPr>
        <sz val="10"/>
        <rFont val="Yu Gothic"/>
        <family val="3"/>
        <charset val="128"/>
      </rPr>
      <t>or db&gt;.png</t>
    </r>
    <r>
      <rPr>
        <sz val="10"/>
        <rFont val="Noto Sans CJK SC"/>
        <family val="2"/>
      </rPr>
      <t xml:space="preserve">（例 </t>
    </r>
    <r>
      <rPr>
        <sz val="10"/>
        <rFont val="Yu Gothic"/>
        <family val="3"/>
        <charset val="128"/>
      </rPr>
      <t>13-07-01_01_gantt.png / 13-07-01_02_db.png</t>
    </r>
    <r>
      <rPr>
        <sz val="10"/>
        <rFont val="Noto Sans CJK SC"/>
        <family val="2"/>
      </rPr>
      <t>）。プロジェクト切替・連鎖削除・日付伝播・スナップショット復元は</t>
    </r>
    <r>
      <rPr>
        <sz val="10"/>
        <rFont val="Yu Gothic"/>
        <family val="3"/>
        <charset val="128"/>
      </rPr>
      <t>IndexedDB</t>
    </r>
    <r>
      <rPr>
        <sz val="10"/>
        <rFont val="Noto Sans CJK SC"/>
        <family val="2"/>
      </rPr>
      <t>のキャプチャを必須とする。</t>
    </r>
  </si>
  <si>
    <r>
      <rPr>
        <b/>
        <sz val="11"/>
        <color rgb="FFFFFFFF"/>
        <rFont val="Yu Gothic"/>
        <family val="3"/>
        <charset val="128"/>
      </rPr>
      <t xml:space="preserve">7. </t>
    </r>
    <r>
      <rPr>
        <b/>
        <sz val="11"/>
        <color rgb="FFFFFFFF"/>
        <rFont val="Noto Sans CJK SC"/>
        <family val="2"/>
      </rPr>
      <t>合否判定基準</t>
    </r>
  </si>
  <si>
    <t>・期待結果どおりの画面表示・トースト・ダイアログ、およびIndexedDBの状態が確認できればOK。
・『何も起きないのが正解』のケース（差分なし比較、範囲外の無音クランプ、復元ログ非記録、追加ログの戻すボタン無し等）は、余計な変化が起きていないことをもってOKとする。
・期待結果は既知の非整合を含めて仕様どおりの挙動を基準とする（幽霊レコード、孤立コメント、非対称バリデーション、reparent旧親の再計算等）。バグと誤判定しないこと。
・仕様と異なればNGとし、修正後に再試験する。</t>
  </si>
  <si>
    <r>
      <rPr>
        <b/>
        <sz val="11"/>
        <color rgb="FFFFFFFF"/>
        <rFont val="Yu Gothic"/>
        <family val="3"/>
        <charset val="128"/>
      </rPr>
      <t xml:space="preserve">8. </t>
    </r>
    <r>
      <rPr>
        <b/>
        <sz val="11"/>
        <color rgb="FFFFFFFF"/>
        <rFont val="Noto Sans CJK SC"/>
        <family val="2"/>
      </rPr>
      <t>不具合報告フロー</t>
    </r>
  </si>
  <si>
    <t>単体試験と同じ運用とする。
1. 不具合票を起票（発生項目ID・手順・期待／実際・スクショ）。
2. 原因調査・修正。
3. 該当テストIDを再試験。
4. 再試験OKでクローズ。
※既知の非整合として文書化済みの挙動は不具合ではないため起票対象外（期待結果側に反映済み）。</t>
  </si>
  <si>
    <r>
      <rPr>
        <b/>
        <sz val="11"/>
        <color rgb="FFFFFFFF"/>
        <rFont val="Yu Gothic"/>
        <family val="3"/>
        <charset val="128"/>
      </rPr>
      <t xml:space="preserve">9. </t>
    </r>
    <r>
      <rPr>
        <b/>
        <sz val="11"/>
        <color rgb="FFFFFFFF"/>
        <rFont val="Noto Sans CJK SC"/>
        <family val="2"/>
      </rPr>
      <t>スケジュール・担当</t>
    </r>
  </si>
  <si>
    <t>実施期間：（記入）／作成：細谷／テスト担当：細谷／結果レビュー：（記入）</t>
  </si>
  <si>
    <r>
      <rPr>
        <b/>
        <sz val="11"/>
        <color rgb="FFFFFFFF"/>
        <rFont val="Yu Gothic"/>
        <family val="3"/>
        <charset val="128"/>
      </rPr>
      <t xml:space="preserve">10. </t>
    </r>
    <r>
      <rPr>
        <b/>
        <sz val="11"/>
        <color rgb="FFFFFFFF"/>
        <rFont val="Noto Sans CJK SC"/>
        <family val="2"/>
      </rPr>
      <t>リスク・注意事項</t>
    </r>
  </si>
  <si>
    <t>・ブラウザ差異：IndexedDBの挙動はブラウザにより細部が異なる可能性。実施ブラウザを固定し他は対象外。
・実行方式の差異：file:// と localhost で挙動が変わる可能性。実施方式を統一する。
・既知の非整合の扱い：意図的に忠実再現している非整合は期待結果を非整合の内容に合わせ、NGにしないよう事前に認識合わせ。
・状態依存：プロジェクト切替・日付伝播・連鎖削除・比較は直前の操作結果に依存。事前条件を厳密に整える。
・DevToolsの更新：IndexedDB一覧は自動更新されない。操作後は必ず⟳で更新してから判定する。
・対象外領域：外部連携・性能・負荷は対象外。</t>
  </si>
  <si>
    <r>
      <rPr>
        <b/>
        <sz val="10"/>
        <color rgb="FFFFFFFF"/>
        <rFont val="Yu Gothic"/>
        <family val="3"/>
        <charset val="128"/>
      </rPr>
      <t>ID</t>
    </r>
    <r>
      <rPr>
        <b/>
        <sz val="10"/>
        <color rgb="FFFFFFFF"/>
        <rFont val="Noto Sans CJK SC"/>
        <family val="2"/>
      </rPr>
      <t>（大</t>
    </r>
    <r>
      <rPr>
        <b/>
        <sz val="10"/>
        <color rgb="FFFFFFFF"/>
        <rFont val="Yu Gothic"/>
        <family val="3"/>
        <charset val="128"/>
      </rPr>
      <t>-</t>
    </r>
    <r>
      <rPr>
        <b/>
        <sz val="10"/>
        <color rgb="FFFFFFFF"/>
        <rFont val="Noto Sans CJK SC"/>
        <family val="2"/>
      </rPr>
      <t>中</t>
    </r>
    <r>
      <rPr>
        <b/>
        <sz val="10"/>
        <color rgb="FFFFFFFF"/>
        <rFont val="Yu Gothic"/>
        <family val="3"/>
        <charset val="128"/>
      </rPr>
      <t>-</t>
    </r>
    <r>
      <rPr>
        <b/>
        <sz val="10"/>
        <color rgb="FFFFFFFF"/>
        <rFont val="Noto Sans CJK SC"/>
        <family val="2"/>
      </rPr>
      <t>小）</t>
    </r>
  </si>
  <si>
    <t>大項目</t>
  </si>
  <si>
    <t>中項目</t>
  </si>
  <si>
    <t>確認内容（観点）</t>
  </si>
  <si>
    <t>観点区分</t>
  </si>
  <si>
    <t>関連する機能・画面名</t>
  </si>
  <si>
    <t>対象ストア</t>
  </si>
  <si>
    <t>前提条件</t>
  </si>
  <si>
    <t>操作手順</t>
  </si>
  <si>
    <t>期待値結果</t>
  </si>
  <si>
    <t>実施前備考メモ</t>
  </si>
  <si>
    <t>実施日</t>
  </si>
  <si>
    <t>実施者</t>
  </si>
  <si>
    <t>判定</t>
  </si>
  <si>
    <t>証跡</t>
  </si>
  <si>
    <t>不具合票</t>
  </si>
  <si>
    <t>備考</t>
  </si>
  <si>
    <t>01-01-01</t>
  </si>
  <si>
    <r>
      <rPr>
        <sz val="10"/>
        <rFont val="Yu Gothic"/>
        <family val="3"/>
        <charset val="128"/>
      </rPr>
      <t xml:space="preserve">01 </t>
    </r>
    <r>
      <rPr>
        <sz val="10"/>
        <rFont val="Noto Sans CJK SC"/>
        <family val="2"/>
      </rPr>
      <t>プロジェクト管理</t>
    </r>
  </si>
  <si>
    <t>新規プロジェクト作成</t>
  </si>
  <si>
    <t>プロジェクト名未入力</t>
  </si>
  <si>
    <t>【表示】</t>
  </si>
  <si>
    <t>新規プロジェクト作成モーダル</t>
  </si>
  <si>
    <t>初期状態／ヘッダー「新規」ボタンで新規プロジェクト作成モーダルを開いた状態</t>
  </si>
  <si>
    <r>
      <rPr>
        <sz val="10"/>
        <rFont val="Yu Gothic"/>
        <family val="3"/>
        <charset val="128"/>
      </rPr>
      <t xml:space="preserve">1. </t>
    </r>
    <r>
      <rPr>
        <sz val="10"/>
        <rFont val="Noto Sans CJK SC"/>
        <family val="2"/>
      </rPr>
      <t>名前を未入力のまま保存</t>
    </r>
  </si>
  <si>
    <t>アラートが表示され保存できない（projectsに追加されない）。</t>
  </si>
  <si>
    <t>−</t>
  </si>
  <si>
    <t>01-01-02</t>
  </si>
  <si>
    <t>終了日よりも開始日が後ろ</t>
  </si>
  <si>
    <r>
      <rPr>
        <sz val="10"/>
        <rFont val="Yu Gothic"/>
        <family val="3"/>
        <charset val="128"/>
      </rPr>
      <t xml:space="preserve">1. </t>
    </r>
    <r>
      <rPr>
        <sz val="10"/>
        <rFont val="Noto Sans CJK SC"/>
        <family val="2"/>
      </rPr>
      <t>終了日を開始日よりも前の状態で保存</t>
    </r>
  </si>
  <si>
    <t>01-01-03</t>
  </si>
  <si>
    <t>終了日が３年以上先</t>
  </si>
  <si>
    <r>
      <rPr>
        <sz val="10"/>
        <rFont val="Yu Gothic"/>
        <family val="3"/>
        <charset val="128"/>
      </rPr>
      <t xml:space="preserve">1. </t>
    </r>
    <r>
      <rPr>
        <sz val="10"/>
        <rFont val="Noto Sans CJK SC"/>
        <family val="2"/>
      </rPr>
      <t>期間が</t>
    </r>
    <r>
      <rPr>
        <sz val="10"/>
        <rFont val="Yu Gothic"/>
        <family val="3"/>
        <charset val="128"/>
      </rPr>
      <t>3</t>
    </r>
    <r>
      <rPr>
        <sz val="10"/>
        <rFont val="Noto Sans CJK SC"/>
        <family val="2"/>
      </rPr>
      <t>年（</t>
    </r>
    <r>
      <rPr>
        <sz val="10"/>
        <rFont val="Yu Gothic"/>
        <family val="3"/>
        <charset val="128"/>
      </rPr>
      <t>365×3+1</t>
    </r>
    <r>
      <rPr>
        <sz val="10"/>
        <rFont val="Noto Sans CJK SC"/>
        <family val="2"/>
      </rPr>
      <t>日）を超える終了日で保存</t>
    </r>
  </si>
  <si>
    <t>「期間は最大3年です」アラートが表示され保存不可。projectsに件数が増えない</t>
  </si>
  <si>
    <t>01-01-04</t>
  </si>
  <si>
    <t>正常：プロジェクトDB保存OK</t>
  </si>
  <si>
    <t>【DB】</t>
  </si>
  <si>
    <t>プロジェクトＤＢ</t>
  </si>
  <si>
    <t>projects</t>
  </si>
  <si>
    <r>
      <rPr>
        <sz val="10"/>
        <rFont val="Yu Gothic"/>
        <family val="3"/>
        <charset val="128"/>
      </rPr>
      <t xml:space="preserve">1. </t>
    </r>
    <r>
      <rPr>
        <sz val="10"/>
        <rFont val="Noto Sans CJK SC"/>
        <family val="2"/>
      </rPr>
      <t xml:space="preserve">新規プロジェクトを作成（名前・開始日・終了日を入力）
</t>
    </r>
    <r>
      <rPr>
        <sz val="10"/>
        <rFont val="Yu Gothic"/>
        <family val="3"/>
        <charset val="128"/>
      </rPr>
      <t xml:space="preserve">2. </t>
    </r>
    <r>
      <rPr>
        <sz val="10"/>
        <rFont val="Noto Sans CJK SC"/>
        <family val="2"/>
      </rPr>
      <t>保存</t>
    </r>
  </si>
  <si>
    <r>
      <rPr>
        <sz val="10"/>
        <rFont val="Yu Gothic"/>
        <family val="3"/>
        <charset val="128"/>
      </rPr>
      <t>projects</t>
    </r>
    <r>
      <rPr>
        <sz val="10"/>
        <rFont val="Noto Sans CJK SC"/>
        <family val="2"/>
      </rPr>
      <t>ストアに、入力した</t>
    </r>
    <r>
      <rPr>
        <sz val="10"/>
        <rFont val="Yu Gothic"/>
        <family val="3"/>
        <charset val="128"/>
      </rPr>
      <t>name/startDate/endDate</t>
    </r>
    <r>
      <rPr>
        <sz val="10"/>
        <rFont val="Noto Sans CJK SC"/>
        <family val="2"/>
      </rPr>
      <t>を持つレコードが</t>
    </r>
    <r>
      <rPr>
        <sz val="10"/>
        <rFont val="Yu Gothic"/>
        <family val="3"/>
        <charset val="128"/>
      </rPr>
      <t>1</t>
    </r>
    <r>
      <rPr>
        <sz val="10"/>
        <rFont val="Noto Sans CJK SC"/>
        <family val="2"/>
      </rPr>
      <t>件あること</t>
    </r>
  </si>
  <si>
    <t>01-01-05</t>
  </si>
  <si>
    <t>正常：ガントチャート表示OK</t>
  </si>
  <si>
    <t>ガントチャート</t>
  </si>
  <si>
    <t>保存後、ヘッダーのドロップダウンに追加され選択状態になり、トースト「プロジェクトを保存しました」が表示される</t>
  </si>
  <si>
    <t>01-01-06</t>
  </si>
  <si>
    <t>正常：画面遷移OK</t>
  </si>
  <si>
    <t>【遷移】</t>
  </si>
  <si>
    <t>メイン画面へ</t>
  </si>
  <si>
    <t>　保存したプロジェクトが選択されメイン画面に遷移する。</t>
  </si>
  <si>
    <t>01-01-07</t>
  </si>
  <si>
    <t>正常：変更履歴反映OK</t>
  </si>
  <si>
    <t>【履歴】</t>
  </si>
  <si>
    <t>変更履歴パネル</t>
  </si>
  <si>
    <t>変更履歴パネルに当該プロジェクト追加のエントリが1件表示される（新規addは差分なし＝changes空）</t>
  </si>
  <si>
    <t>01-02-01</t>
  </si>
  <si>
    <t>プロジェクト削除</t>
  </si>
  <si>
    <t>配下の8ストアすべてに何かしらデータを持つプロジェクトが存在し、プロジェクトが複数ある／プロジェクト選択済み。ヘッダー「削除」ボタンから操作</t>
  </si>
  <si>
    <r>
      <rPr>
        <sz val="10"/>
        <rFont val="Yu Gothic"/>
        <family val="3"/>
        <charset val="128"/>
      </rPr>
      <t xml:space="preserve">1. </t>
    </r>
    <r>
      <rPr>
        <sz val="10"/>
        <rFont val="Noto Sans CJK SC"/>
        <family val="2"/>
      </rPr>
      <t xml:space="preserve">プロジェクト削除
</t>
    </r>
    <r>
      <rPr>
        <sz val="10"/>
        <rFont val="Yu Gothic"/>
        <family val="3"/>
        <charset val="128"/>
      </rPr>
      <t>2. confirm</t>
    </r>
    <r>
      <rPr>
        <sz val="10"/>
        <rFont val="Noto Sans CJK SC"/>
        <family val="2"/>
      </rPr>
      <t>「『</t>
    </r>
    <r>
      <rPr>
        <sz val="10"/>
        <rFont val="Yu Gothic"/>
        <family val="3"/>
        <charset val="128"/>
      </rPr>
      <t>{</t>
    </r>
    <r>
      <rPr>
        <sz val="10"/>
        <rFont val="Noto Sans CJK SC"/>
        <family val="2"/>
      </rPr>
      <t>名前</t>
    </r>
    <r>
      <rPr>
        <sz val="10"/>
        <rFont val="Yu Gothic"/>
        <family val="3"/>
        <charset val="128"/>
      </rPr>
      <t>}</t>
    </r>
    <r>
      <rPr>
        <sz val="10"/>
        <rFont val="Noto Sans CJK SC"/>
        <family val="2"/>
      </rPr>
      <t>』を削除しますか？（すべてのスケジュールも削除されます）」で</t>
    </r>
    <r>
      <rPr>
        <sz val="10"/>
        <rFont val="Yu Gothic"/>
        <family val="3"/>
        <charset val="128"/>
      </rPr>
      <t>OK</t>
    </r>
  </si>
  <si>
    <t>トースト「プロジェクトを削除しました」が表示され、残る先頭プロジェクトが自動選択される</t>
  </si>
  <si>
    <t>01-02-02</t>
  </si>
  <si>
    <t>変更履歴DB</t>
  </si>
  <si>
    <t>changelog</t>
  </si>
  <si>
    <t>変更履歴DB、当該プロジェクト配下の削除ログ（schedules/tasks/issues各件＋projects1件、すべてdelete）作成される。OR changlogも削除？</t>
  </si>
  <si>
    <t>01-02-03</t>
  </si>
  <si>
    <t>正常：プロジェクトDB削除OK</t>
  </si>
  <si>
    <r>
      <rPr>
        <sz val="10"/>
        <rFont val="Yu Gothic"/>
        <family val="3"/>
        <charset val="128"/>
      </rPr>
      <t>projects</t>
    </r>
    <r>
      <rPr>
        <sz val="10"/>
        <rFont val="Noto Sans CJK SC"/>
        <family val="2"/>
      </rPr>
      <t>ストアで、削除した</t>
    </r>
    <r>
      <rPr>
        <sz val="10"/>
        <rFont val="Yu Gothic"/>
        <family val="3"/>
        <charset val="128"/>
      </rPr>
      <t>projectId</t>
    </r>
    <r>
      <rPr>
        <sz val="10"/>
        <rFont val="Noto Sans CJK SC"/>
        <family val="2"/>
      </rPr>
      <t>を持つレコードが</t>
    </r>
    <r>
      <rPr>
        <sz val="10"/>
        <rFont val="Yu Gothic"/>
        <family val="3"/>
        <charset val="128"/>
      </rPr>
      <t>0</t>
    </r>
    <r>
      <rPr>
        <sz val="10"/>
        <rFont val="Noto Sans CJK SC"/>
        <family val="2"/>
      </rPr>
      <t>件であること</t>
    </r>
  </si>
  <si>
    <t>01-02-04</t>
  </si>
  <si>
    <t>正常：その他関連する８DB削除OK</t>
  </si>
  <si>
    <t>ＤＢ全体</t>
  </si>
  <si>
    <t>全ストア</t>
  </si>
  <si>
    <r>
      <rPr>
        <sz val="10"/>
        <rFont val="Yu Gothic"/>
        <family val="3"/>
        <charset val="128"/>
      </rPr>
      <t>projects/schedules/tasks/issues/memos/quickmemos/snapshots</t>
    </r>
    <r>
      <rPr>
        <sz val="10"/>
        <rFont val="Noto Sans CJK SC"/>
        <family val="2"/>
      </rPr>
      <t>の各ストアで、削除した</t>
    </r>
    <r>
      <rPr>
        <sz val="10"/>
        <rFont val="Yu Gothic"/>
        <family val="3"/>
        <charset val="128"/>
      </rPr>
      <t>projectId</t>
    </r>
    <r>
      <rPr>
        <sz val="10"/>
        <rFont val="Noto Sans CJK SC"/>
        <family val="2"/>
      </rPr>
      <t>を持つレコードが</t>
    </r>
    <r>
      <rPr>
        <sz val="10"/>
        <rFont val="Yu Gothic"/>
        <family val="3"/>
        <charset val="128"/>
      </rPr>
      <t>0</t>
    </r>
    <r>
      <rPr>
        <sz val="10"/>
        <rFont val="Noto Sans CJK SC"/>
        <family val="2"/>
      </rPr>
      <t>件。</t>
    </r>
    <r>
      <rPr>
        <sz val="10"/>
        <rFont val="Yu Gothic"/>
        <family val="3"/>
        <charset val="128"/>
      </rPr>
      <t>comments</t>
    </r>
    <r>
      <rPr>
        <sz val="10"/>
        <rFont val="Noto Sans CJK SC"/>
        <family val="2"/>
      </rPr>
      <t>にも当該スケジュールのコメントが残っていないこと</t>
    </r>
  </si>
  <si>
    <t>01-03-01</t>
  </si>
  <si>
    <t>プロジェクト選択</t>
  </si>
  <si>
    <t>正常：プロジェクトDBが0件のとき</t>
  </si>
  <si>
    <t>メイン画面/プロジェクト選択ドロップダウン</t>
  </si>
  <si>
    <t>プロジェクトが1件だけ存在／プロジェクト選択済み。ヘッダーのプロジェクト選択ドロップダウンから操作</t>
  </si>
  <si>
    <r>
      <rPr>
        <sz val="10"/>
        <rFont val="Yu Gothic"/>
        <family val="3"/>
        <charset val="128"/>
      </rPr>
      <t xml:space="preserve">1. </t>
    </r>
    <r>
      <rPr>
        <sz val="10"/>
        <rFont val="Noto Sans CJK SC"/>
        <family val="2"/>
      </rPr>
      <t>最後のプロジェクトを削除しプロジェクト</t>
    </r>
    <r>
      <rPr>
        <sz val="10"/>
        <rFont val="Yu Gothic"/>
        <family val="3"/>
        <charset val="128"/>
      </rPr>
      <t>0</t>
    </r>
    <r>
      <rPr>
        <sz val="10"/>
        <rFont val="Noto Sans CJK SC"/>
        <family val="2"/>
      </rPr>
      <t>件にする</t>
    </r>
  </si>
  <si>
    <t>未選択状態になり、ガント本体が空状態画面に、タスク管理・マインドマップが「プロジェクトを選択してください」表示になる（projectsストアが0件）</t>
  </si>
  <si>
    <t>01-03-02</t>
  </si>
  <si>
    <t>正常：プロジェクトDBが1件のとき</t>
  </si>
  <si>
    <t>プロジェクトが1件存在／プロジェクト選択済み。ヘッダーのプロジェクト選択ドロップダウンから操作</t>
  </si>
  <si>
    <r>
      <rPr>
        <sz val="10"/>
        <rFont val="Yu Gothic"/>
        <family val="3"/>
        <charset val="128"/>
      </rPr>
      <t xml:space="preserve">1. </t>
    </r>
    <r>
      <rPr>
        <sz val="10"/>
        <rFont val="Noto Sans CJK SC"/>
        <family val="2"/>
      </rPr>
      <t>プロジェクト選択ドロップダウンを開く</t>
    </r>
  </si>
  <si>
    <t>ドロップダウンの中身が1件のみ表示される。その1件のプロジェクト以外を選択する余地がない。</t>
  </si>
  <si>
    <t>01-03-03</t>
  </si>
  <si>
    <t>正常：プロジェクトDBが2件以上のとき</t>
  </si>
  <si>
    <t>プロジェクトが2件存在／プロジェクト選択済み。ヘッダーのプロジェクト選択ドロップダウンから操作</t>
  </si>
  <si>
    <t>表示するプロジェクトを変更可能。
変更によって表示されるガントチャートと全ての右サイドパネルの中身が変化する。</t>
  </si>
  <si>
    <t>01-04-01</t>
  </si>
  <si>
    <t>ロック</t>
  </si>
  <si>
    <t>正常：ロックボタン作動時表示OK</t>
  </si>
  <si>
    <t>マイルストーン・スケジュール追加/ロックヘッダー</t>
  </si>
  <si>
    <t>プロジェクト選択済み。ヘッダー「ロック」ボタンから操作</t>
  </si>
  <si>
    <r>
      <rPr>
        <sz val="10"/>
        <rFont val="Yu Gothic"/>
        <family val="3"/>
        <charset val="128"/>
      </rPr>
      <t xml:space="preserve">1. </t>
    </r>
    <r>
      <rPr>
        <sz val="10"/>
        <rFont val="Noto Sans CJK SC"/>
        <family val="2"/>
      </rPr>
      <t>ロックボタンで</t>
    </r>
    <r>
      <rPr>
        <sz val="10"/>
        <rFont val="Yu Gothic"/>
        <family val="3"/>
        <charset val="128"/>
      </rPr>
      <t>ON</t>
    </r>
  </si>
  <si>
    <r>
      <rPr>
        <sz val="10"/>
        <rFont val="Yu Gothic"/>
        <family val="3"/>
        <charset val="128"/>
      </rPr>
      <t>ON</t>
    </r>
    <r>
      <rPr>
        <sz val="10"/>
        <rFont val="Noto Sans CJK SC"/>
        <family val="2"/>
      </rPr>
      <t>時は薄赤帯が表示され、トースト「ロックしました」が出る
マイルストーンとスケジュール追加が色変化（無効化）</t>
    </r>
  </si>
  <si>
    <t>01-04-02</t>
  </si>
  <si>
    <t>正常：ロックボタン作動時機能制限OK</t>
  </si>
  <si>
    <t>【非表示】</t>
  </si>
  <si>
    <t>メイン画面</t>
  </si>
  <si>
    <r>
      <rPr>
        <sz val="10"/>
        <rFont val="Yu Gothic"/>
        <family val="3"/>
        <charset val="128"/>
      </rPr>
      <t xml:space="preserve">1. </t>
    </r>
    <r>
      <rPr>
        <sz val="10"/>
        <rFont val="Noto Sans CJK SC"/>
        <family val="2"/>
      </rPr>
      <t>ロック</t>
    </r>
    <r>
      <rPr>
        <sz val="10"/>
        <rFont val="Yu Gothic"/>
        <family val="3"/>
        <charset val="128"/>
      </rPr>
      <t>ON</t>
    </r>
    <r>
      <rPr>
        <sz val="10"/>
        <rFont val="Noto Sans CJK SC"/>
        <family val="2"/>
      </rPr>
      <t xml:space="preserve">中にスケジュール追加を試みる
</t>
    </r>
    <r>
      <rPr>
        <sz val="10"/>
        <rFont val="Yu Gothic"/>
        <family val="3"/>
        <charset val="128"/>
      </rPr>
      <t>2.</t>
    </r>
    <r>
      <rPr>
        <sz val="10"/>
        <rFont val="Noto Sans CJK SC"/>
        <family val="2"/>
      </rPr>
      <t>マイルストーン追加変更を試みる
３．</t>
    </r>
    <r>
      <rPr>
        <sz val="10"/>
        <rFont val="Yu Gothic"/>
        <family val="3"/>
        <charset val="128"/>
      </rPr>
      <t>WBS</t>
    </r>
    <r>
      <rPr>
        <sz val="10"/>
        <rFont val="Noto Sans CJK SC"/>
        <family val="2"/>
      </rPr>
      <t>パネルの機能を全て実施を試みる。
４．ガントチャートバー上の機能を全て試みる</t>
    </r>
  </si>
  <si>
    <t>ロック中の編集操作は「ロック中のため編集できません」となる。
無効化しているボタン/ガントチャート機能（WBSパネルタスクを閉じる開く以外）は使用できない。（クリックできても保存更新はできない。）</t>
  </si>
  <si>
    <t>01-04-03</t>
  </si>
  <si>
    <t>正常：ロックボタン　解除時　表示OK</t>
  </si>
  <si>
    <r>
      <rPr>
        <sz val="10"/>
        <rFont val="Yu Gothic"/>
        <family val="3"/>
        <charset val="128"/>
      </rPr>
      <t xml:space="preserve">1. </t>
    </r>
    <r>
      <rPr>
        <sz val="10"/>
        <rFont val="Noto Sans CJK SC"/>
        <family val="2"/>
      </rPr>
      <t>ロックボタンで</t>
    </r>
    <r>
      <rPr>
        <sz val="10"/>
        <rFont val="Yu Gothic"/>
        <family val="3"/>
        <charset val="128"/>
      </rPr>
      <t>OFF</t>
    </r>
    <r>
      <rPr>
        <sz val="10"/>
        <rFont val="Noto Sans CJK SC"/>
        <family val="2"/>
      </rPr>
      <t>に戻す</t>
    </r>
  </si>
  <si>
    <r>
      <rPr>
        <sz val="10"/>
        <rFont val="Yu Gothic"/>
        <family val="3"/>
        <charset val="128"/>
      </rPr>
      <t>OFF</t>
    </r>
    <r>
      <rPr>
        <sz val="10"/>
        <rFont val="Noto Sans CJK SC"/>
        <family val="2"/>
      </rPr>
      <t>時はトースト「ロックを解除しました」が出て、薄赤帯が消える。ヘッダーの無効化した見た目も解除。通常に戻る。</t>
    </r>
  </si>
  <si>
    <t>01-04-04</t>
  </si>
  <si>
    <t>正常：ロックボタン解除時　機能制限解除OK</t>
  </si>
  <si>
    <r>
      <rPr>
        <sz val="10"/>
        <rFont val="Yu Gothic"/>
        <family val="3"/>
        <charset val="128"/>
      </rPr>
      <t xml:space="preserve">1. </t>
    </r>
    <r>
      <rPr>
        <sz val="10"/>
        <rFont val="Noto Sans CJK SC"/>
        <family val="2"/>
      </rPr>
      <t>ロック</t>
    </r>
    <r>
      <rPr>
        <sz val="10"/>
        <rFont val="Yu Gothic"/>
        <family val="3"/>
        <charset val="128"/>
      </rPr>
      <t>OFF</t>
    </r>
    <r>
      <rPr>
        <sz val="10"/>
        <rFont val="Noto Sans CJK SC"/>
        <family val="2"/>
      </rPr>
      <t xml:space="preserve">にする
</t>
    </r>
    <r>
      <rPr>
        <sz val="10"/>
        <rFont val="Yu Gothic"/>
        <family val="3"/>
        <charset val="128"/>
      </rPr>
      <t>2.</t>
    </r>
    <r>
      <rPr>
        <sz val="10"/>
        <rFont val="Noto Sans CJK SC"/>
        <family val="2"/>
      </rPr>
      <t>　ロック</t>
    </r>
    <r>
      <rPr>
        <sz val="10"/>
        <rFont val="Yu Gothic"/>
        <family val="3"/>
        <charset val="128"/>
      </rPr>
      <t>ON</t>
    </r>
    <r>
      <rPr>
        <sz val="10"/>
        <rFont val="Noto Sans CJK SC"/>
        <family val="2"/>
      </rPr>
      <t>状態で機能制限がかかった機能を全て実行する。</t>
    </r>
  </si>
  <si>
    <t>全機能が使用可能に戻る（スケジュール追加等の操作が有効化される）</t>
  </si>
  <si>
    <t>01-05-01</t>
  </si>
  <si>
    <t>マイルストーン</t>
  </si>
  <si>
    <t>マイルストーン名未入力</t>
  </si>
  <si>
    <t>マイルストーンモーダル</t>
  </si>
  <si>
    <t>マイルストーンを1行以上入力できる状態／ヘッダー「マイルストーン」ボタンでマイルストーンモーダルを開いた状態（プロジェクト選択済み）</t>
  </si>
  <si>
    <r>
      <rPr>
        <sz val="10"/>
        <rFont val="Yu Gothic"/>
        <family val="3"/>
        <charset val="128"/>
      </rPr>
      <t xml:space="preserve">1. </t>
    </r>
    <r>
      <rPr>
        <sz val="10"/>
        <rFont val="Noto Sans CJK SC"/>
        <family val="2"/>
      </rPr>
      <t>名称を空欄のまま日付を入力して保存</t>
    </r>
  </si>
  <si>
    <t>保存自体は成功するが、名称が空の行はガントのタイムライン上にひし形マーカーとして表示されない（エラーにはならない）</t>
  </si>
  <si>
    <t>←期待値結果としては今を正しく表しているが、UX的にエラー通知トーストを実装できてもいいのではないか？</t>
  </si>
  <si>
    <t>01-05-02</t>
  </si>
  <si>
    <t>日付未入力</t>
  </si>
  <si>
    <r>
      <rPr>
        <sz val="10"/>
        <rFont val="Yu Gothic"/>
        <family val="3"/>
        <charset val="128"/>
      </rPr>
      <t xml:space="preserve">1. </t>
    </r>
    <r>
      <rPr>
        <sz val="10"/>
        <rFont val="Noto Sans CJK SC"/>
        <family val="2"/>
      </rPr>
      <t>日付を空欄のまま名称を入力して保存</t>
    </r>
  </si>
  <si>
    <t>保存は成功するが、日付の無い行はマーカー位置を確定できずガント上に表示されない</t>
  </si>
  <si>
    <t>01-05-03</t>
  </si>
  <si>
    <t>マイルストーン保存　画面遷移ＯＫ</t>
  </si>
  <si>
    <t>マイルストーンを1件以上設定できる状態／ヘッダー「マイルストーン」ボタンでマイルストーンモーダルを開いた状態（プロジェクト選択済み）</t>
  </si>
  <si>
    <r>
      <rPr>
        <sz val="10"/>
        <rFont val="Yu Gothic"/>
        <family val="3"/>
        <charset val="128"/>
      </rPr>
      <t xml:space="preserve">1. </t>
    </r>
    <r>
      <rPr>
        <sz val="10"/>
        <rFont val="Noto Sans CJK SC"/>
        <family val="2"/>
      </rPr>
      <t>マイルストーン（日付・名称）を入力して保存</t>
    </r>
  </si>
  <si>
    <t>保存後モーダルが閉じてガントが再描画され、トースト「マイルストーンを保存しました」が表示される</t>
  </si>
  <si>
    <t>01-05-04</t>
  </si>
  <si>
    <t>マイルストーン保存　ガントチャート画面表示ＯＫ</t>
  </si>
  <si>
    <t>プロジェクト選択済み。マイルストーンを1件以上設定できる状態／ヘッダー「マイルストーン」ボタンでマイルストーンモーダルを開いた状態</t>
  </si>
  <si>
    <r>
      <rPr>
        <sz val="10"/>
        <rFont val="Yu Gothic"/>
        <family val="3"/>
        <charset val="128"/>
      </rPr>
      <t xml:space="preserve">1. </t>
    </r>
    <r>
      <rPr>
        <sz val="10"/>
        <rFont val="Noto Sans CJK SC"/>
        <family val="2"/>
      </rPr>
      <t>プロジェクト編集でマイルストーン（日付・名称）を</t>
    </r>
    <r>
      <rPr>
        <sz val="10"/>
        <rFont val="Yu Gothic"/>
        <family val="3"/>
        <charset val="128"/>
      </rPr>
      <t>1</t>
    </r>
    <r>
      <rPr>
        <sz val="10"/>
        <rFont val="Noto Sans CJK SC"/>
        <family val="2"/>
      </rPr>
      <t xml:space="preserve">件追加
</t>
    </r>
    <r>
      <rPr>
        <sz val="10"/>
        <rFont val="Yu Gothic"/>
        <family val="3"/>
        <charset val="128"/>
      </rPr>
      <t xml:space="preserve">2. </t>
    </r>
    <r>
      <rPr>
        <sz val="10"/>
        <rFont val="Noto Sans CJK SC"/>
        <family val="2"/>
      </rPr>
      <t xml:space="preserve">保存
</t>
    </r>
    <r>
      <rPr>
        <sz val="10"/>
        <rFont val="Yu Gothic"/>
        <family val="3"/>
        <charset val="128"/>
      </rPr>
      <t xml:space="preserve">3. </t>
    </r>
    <r>
      <rPr>
        <sz val="10"/>
        <rFont val="Noto Sans CJK SC"/>
        <family val="2"/>
      </rPr>
      <t>ガントを確認</t>
    </r>
  </si>
  <si>
    <t>ガントのタイムライン上、保存した日付位置にひし形マーカーが表示される（名称も確認）</t>
  </si>
  <si>
    <t>01-05-05</t>
  </si>
  <si>
    <t>マイルストーン保存　プロジェクトDB反映ＯＫ</t>
  </si>
  <si>
    <t>プロジェクトDB</t>
  </si>
  <si>
    <r>
      <rPr>
        <sz val="10"/>
        <rFont val="Yu Gothic"/>
        <family val="3"/>
        <charset val="128"/>
      </rPr>
      <t>projects</t>
    </r>
    <r>
      <rPr>
        <sz val="10"/>
        <rFont val="Noto Sans CJK SC"/>
        <family val="2"/>
      </rPr>
      <t>ストアの当該レコードの</t>
    </r>
    <r>
      <rPr>
        <sz val="10"/>
        <rFont val="Yu Gothic"/>
        <family val="3"/>
        <charset val="128"/>
      </rPr>
      <t>milestones</t>
    </r>
    <r>
      <rPr>
        <sz val="10"/>
        <rFont val="Noto Sans CJK SC"/>
        <family val="2"/>
      </rPr>
      <t>配列に、入力した日付・名称の要素が入っていること</t>
    </r>
  </si>
  <si>
    <t>01-05-06</t>
  </si>
  <si>
    <t>マイルストーンを追加ボタン</t>
  </si>
  <si>
    <t>ヘッダー「マイルストーン」ボタンでマイルストーンモーダルを開いた状態（プロジェクト選択済み）</t>
  </si>
  <si>
    <r>
      <rPr>
        <sz val="10"/>
        <rFont val="Yu Gothic"/>
        <family val="3"/>
        <charset val="128"/>
      </rPr>
      <t xml:space="preserve">1. </t>
    </r>
    <r>
      <rPr>
        <sz val="10"/>
        <rFont val="Noto Sans CJK SC"/>
        <family val="2"/>
      </rPr>
      <t>「＋マイルストーン追加」ボタンを押す</t>
    </r>
  </si>
  <si>
    <t>入力行が1行増える（日付・名称の入力欄が追加される）</t>
  </si>
  <si>
    <t>01-05-07</t>
  </si>
  <si>
    <r>
      <rPr>
        <sz val="10"/>
        <rFont val="Yu Gothic"/>
        <family val="3"/>
        <charset val="128"/>
      </rPr>
      <t>×</t>
    </r>
    <r>
      <rPr>
        <sz val="10"/>
        <rFont val="Noto Sans CJK SC"/>
        <family val="2"/>
      </rPr>
      <t>で行削除→保存 ガントのマーカー非表示</t>
    </r>
  </si>
  <si>
    <t>マイルストーンが1件以上設定されているプロジェクト／ヘッダー「マイルストーン」ボタンでマイルストーンモーダルを開いた状態（プロジェクト選択済み）</t>
  </si>
  <si>
    <r>
      <rPr>
        <sz val="10"/>
        <rFont val="Yu Gothic"/>
        <family val="3"/>
        <charset val="128"/>
      </rPr>
      <t xml:space="preserve">1. </t>
    </r>
    <r>
      <rPr>
        <sz val="10"/>
        <rFont val="Noto Sans CJK SC"/>
        <family val="2"/>
      </rPr>
      <t>マイルストーンモーダルで対象行の</t>
    </r>
    <r>
      <rPr>
        <sz val="10"/>
        <rFont val="Yu Gothic"/>
        <family val="3"/>
        <charset val="128"/>
      </rPr>
      <t>×</t>
    </r>
    <r>
      <rPr>
        <sz val="10"/>
        <rFont val="Noto Sans CJK SC"/>
        <family val="2"/>
      </rPr>
      <t>を押して削除し保存</t>
    </r>
  </si>
  <si>
    <t>保存後、削除したマイルストーンのひし形マーカーがガントのタイムラインから消える（トースト「マイルストーンを保存しました」）</t>
  </si>
  <si>
    <t>01-05-08</t>
  </si>
  <si>
    <r>
      <rPr>
        <sz val="10"/>
        <rFont val="Yu Gothic"/>
        <family val="3"/>
        <charset val="128"/>
      </rPr>
      <t>×</t>
    </r>
    <r>
      <rPr>
        <sz val="10"/>
        <rFont val="Noto Sans CJK SC"/>
        <family val="2"/>
      </rPr>
      <t xml:space="preserve">で行削除→保存 </t>
    </r>
    <r>
      <rPr>
        <sz val="10"/>
        <rFont val="Yu Gothic"/>
        <family val="3"/>
        <charset val="128"/>
      </rPr>
      <t>projects DB</t>
    </r>
    <r>
      <rPr>
        <sz val="10"/>
        <rFont val="Noto Sans CJK SC"/>
        <family val="2"/>
      </rPr>
      <t>反映</t>
    </r>
  </si>
  <si>
    <r>
      <rPr>
        <sz val="10"/>
        <rFont val="Yu Gothic"/>
        <family val="3"/>
        <charset val="128"/>
      </rPr>
      <t>projects</t>
    </r>
    <r>
      <rPr>
        <sz val="10"/>
        <rFont val="Noto Sans CJK SC"/>
        <family val="2"/>
      </rPr>
      <t>ストアの当該レコードの</t>
    </r>
    <r>
      <rPr>
        <sz val="10"/>
        <rFont val="Yu Gothic"/>
        <family val="3"/>
        <charset val="128"/>
      </rPr>
      <t>milestones</t>
    </r>
    <r>
      <rPr>
        <sz val="10"/>
        <rFont val="Noto Sans CJK SC"/>
        <family val="2"/>
      </rPr>
      <t>配列から該当要素が消える</t>
    </r>
  </si>
  <si>
    <t>01-06-01</t>
  </si>
  <si>
    <t>プロジェクト編集</t>
  </si>
  <si>
    <t>プロジェクト編集モーダル</t>
  </si>
  <si>
    <t>プロジェクト作成／編集中／ヘッダー「編集」ボタンでプロジェクト編集モーダルを開いた状態（プロジェクト選択済み）</t>
  </si>
  <si>
    <t>アラートが表示され保存できない（projectsが更新されない）。※専用の文言はお手本に明記なし</t>
  </si>
  <si>
    <t>01-06-02</t>
  </si>
  <si>
    <t>既存プロジェクトが存在／ヘッダー「編集」ボタンでプロジェクト編集モーダルを開いた状態（プロジェクト選択済み）</t>
  </si>
  <si>
    <r>
      <rPr>
        <sz val="10"/>
        <rFont val="Yu Gothic"/>
        <family val="3"/>
        <charset val="128"/>
      </rPr>
      <t xml:space="preserve">1. </t>
    </r>
    <r>
      <rPr>
        <sz val="10"/>
        <rFont val="Noto Sans CJK SC"/>
        <family val="2"/>
      </rPr>
      <t>終了日＜開始日で保存</t>
    </r>
  </si>
  <si>
    <t>アラートが表示され保存できない（projectsが更新されない）</t>
  </si>
  <si>
    <t>01-06-03</t>
  </si>
  <si>
    <t>「期間は最大3年です」アラートが表示され保存不可</t>
  </si>
  <si>
    <t>01-06-04</t>
  </si>
  <si>
    <t>変更箇所、差分がない。DB変更履歴に反映なし。</t>
  </si>
  <si>
    <t>変更履歴/プロジェクトDB</t>
  </si>
  <si>
    <r>
      <rPr>
        <sz val="10"/>
        <rFont val="Yu Gothic"/>
        <family val="3"/>
        <charset val="128"/>
      </rPr>
      <t xml:space="preserve">1. </t>
    </r>
    <r>
      <rPr>
        <sz val="10"/>
        <rFont val="Noto Sans CJK SC"/>
        <family val="2"/>
      </rPr>
      <t>何も変更せずに（差分なしで）保存</t>
    </r>
  </si>
  <si>
    <t>「プロジェクトを保存しました」成功トーストが表示される。
変更箇所が無いため変更履歴に記録されず、変更履歴パネルに新規エントリが増えない</t>
  </si>
  <si>
    <t>01-06-05</t>
  </si>
  <si>
    <r>
      <rPr>
        <sz val="10"/>
        <rFont val="Yu Gothic"/>
        <family val="3"/>
        <charset val="128"/>
      </rPr>
      <t xml:space="preserve">1. </t>
    </r>
    <r>
      <rPr>
        <sz val="10"/>
        <rFont val="Noto Sans CJK SC"/>
        <family val="2"/>
      </rPr>
      <t xml:space="preserve">内容を変更
</t>
    </r>
    <r>
      <rPr>
        <sz val="10"/>
        <rFont val="Yu Gothic"/>
        <family val="3"/>
        <charset val="128"/>
      </rPr>
      <t xml:space="preserve">2. </t>
    </r>
    <r>
      <rPr>
        <sz val="10"/>
        <rFont val="Noto Sans CJK SC"/>
        <family val="2"/>
      </rPr>
      <t>保存</t>
    </r>
  </si>
  <si>
    <r>
      <rPr>
        <sz val="10"/>
        <rFont val="Yu Gothic"/>
        <family val="3"/>
        <charset val="128"/>
      </rPr>
      <t>projects</t>
    </r>
    <r>
      <rPr>
        <sz val="10"/>
        <rFont val="Noto Sans CJK SC"/>
        <family val="2"/>
      </rPr>
      <t>ストアの当該レコードの</t>
    </r>
    <r>
      <rPr>
        <sz val="10"/>
        <rFont val="Yu Gothic"/>
        <family val="3"/>
        <charset val="128"/>
      </rPr>
      <t>name/startDate/endDate</t>
    </r>
    <r>
      <rPr>
        <sz val="10"/>
        <rFont val="Noto Sans CJK SC"/>
        <family val="2"/>
      </rPr>
      <t>等が更新されていること</t>
    </r>
  </si>
  <si>
    <t>01-06-06</t>
  </si>
  <si>
    <t>ヘッダー/メイン画面</t>
  </si>
  <si>
    <t>変更が画面に反映され、プロジェクト名はヘッダーのドロップダウン、期間は表示されるカレンダー期間に反映される</t>
  </si>
  <si>
    <t>01-06-07</t>
  </si>
  <si>
    <r>
      <rPr>
        <sz val="10"/>
        <rFont val="Yu Gothic"/>
        <family val="3"/>
        <charset val="128"/>
      </rPr>
      <t xml:space="preserve">1. </t>
    </r>
    <r>
      <rPr>
        <sz val="10"/>
        <rFont val="Noto Sans CJK SC"/>
        <family val="2"/>
      </rPr>
      <t>内容を変更して保存</t>
    </r>
  </si>
  <si>
    <t>保存後モーダルが閉じてメイン画面（ガント）に戻る</t>
  </si>
  <si>
    <t>01-06-08</t>
  </si>
  <si>
    <t>変更履歴</t>
  </si>
  <si>
    <t>変更履歴パネルに、当該プロジェクト編集のエントリ（action:'edit'、changesに変更フィールド）が1件表示される</t>
  </si>
  <si>
    <t>02-01-01</t>
  </si>
  <si>
    <r>
      <rPr>
        <sz val="10"/>
        <rFont val="Yu Gothic"/>
        <family val="3"/>
        <charset val="128"/>
      </rPr>
      <t xml:space="preserve">02 </t>
    </r>
    <r>
      <rPr>
        <sz val="10"/>
        <rFont val="Noto Sans CJK SC"/>
        <family val="2"/>
      </rPr>
      <t>スケジュール追加</t>
    </r>
  </si>
  <si>
    <t>スケジュール追加</t>
  </si>
  <si>
    <t>スケジュール名未入力</t>
  </si>
  <si>
    <t>スケジュール追加モーダル</t>
  </si>
  <si>
    <t>プロジェクト選択済み／ヘッダー「スケジュール追加」ボタンでスケジュール追加モーダルを開いた状態</t>
  </si>
  <si>
    <r>
      <rPr>
        <sz val="10"/>
        <rFont val="Yu Gothic"/>
        <family val="3"/>
        <charset val="128"/>
      </rPr>
      <t xml:space="preserve">1. </t>
    </r>
    <r>
      <rPr>
        <sz val="10"/>
        <rFont val="Noto Sans CJK SC"/>
        <family val="2"/>
      </rPr>
      <t>スケジュール名を未入力のまま保存</t>
    </r>
  </si>
  <si>
    <t>アラート「スケジュールを入力してください」が表示され保存できない（schedulesに追加されない）</t>
  </si>
  <si>
    <t>02-01-02</t>
  </si>
  <si>
    <t>アラート「終了日は開始日以降にしてください」が表示され保存不可（schedulesに反映されない）</t>
  </si>
  <si>
    <t>02-01-03</t>
  </si>
  <si>
    <t>終了日がプロジェクト最終日よりも後ろ
開始日がプロジェクト開始日よりも前</t>
  </si>
  <si>
    <r>
      <rPr>
        <sz val="10"/>
        <rFont val="Yu Gothic"/>
        <family val="3"/>
        <charset val="128"/>
      </rPr>
      <t xml:space="preserve">1. </t>
    </r>
    <r>
      <rPr>
        <sz val="10"/>
        <rFont val="Noto Sans CJK SC"/>
        <family val="2"/>
      </rPr>
      <t>終了日をプロジェクト最終日より後ろ、開始日よりも前にして保存</t>
    </r>
  </si>
  <si>
    <t>期間上限のバリデーションは無く、そのまま保存される（プロジェクト最終日超過では拒否されない）</t>
  </si>
  <si>
    <t>←バリエーション設計実装があったらもっとUX的にいいのではないか？</t>
  </si>
  <si>
    <t>02-01-04</t>
  </si>
  <si>
    <t>正常：スケジュールDB保存OK</t>
  </si>
  <si>
    <t>スケジュールＤＢ</t>
  </si>
  <si>
    <t>schedules</t>
  </si>
  <si>
    <r>
      <rPr>
        <sz val="10"/>
        <rFont val="Yu Gothic"/>
        <family val="3"/>
        <charset val="128"/>
      </rPr>
      <t xml:space="preserve">1. </t>
    </r>
    <r>
      <rPr>
        <sz val="10"/>
        <rFont val="Noto Sans CJK SC"/>
        <family val="2"/>
      </rPr>
      <t xml:space="preserve">新規追加
</t>
    </r>
    <r>
      <rPr>
        <sz val="10"/>
        <rFont val="Yu Gothic"/>
        <family val="3"/>
        <charset val="128"/>
      </rPr>
      <t xml:space="preserve">2. </t>
    </r>
    <r>
      <rPr>
        <sz val="10"/>
        <rFont val="Noto Sans CJK SC"/>
        <family val="2"/>
      </rPr>
      <t xml:space="preserve">名前・開始日・終了日を入力
</t>
    </r>
    <r>
      <rPr>
        <sz val="10"/>
        <rFont val="Yu Gothic"/>
        <family val="3"/>
        <charset val="128"/>
      </rPr>
      <t xml:space="preserve">3. </t>
    </r>
    <r>
      <rPr>
        <sz val="10"/>
        <rFont val="Noto Sans CJK SC"/>
        <family val="2"/>
      </rPr>
      <t>保存</t>
    </r>
  </si>
  <si>
    <r>
      <rPr>
        <sz val="10"/>
        <rFont val="Yu Gothic"/>
        <family val="3"/>
        <charset val="128"/>
      </rPr>
      <t>schedules</t>
    </r>
    <r>
      <rPr>
        <sz val="10"/>
        <rFont val="Noto Sans CJK SC"/>
        <family val="2"/>
      </rPr>
      <t>ストアに、入力した</t>
    </r>
    <r>
      <rPr>
        <sz val="10"/>
        <rFont val="Yu Gothic"/>
        <family val="3"/>
        <charset val="128"/>
      </rPr>
      <t>name/startDate/endDate</t>
    </r>
    <r>
      <rPr>
        <sz val="10"/>
        <rFont val="Noto Sans CJK SC"/>
        <family val="2"/>
      </rPr>
      <t>を持つレコードが</t>
    </r>
    <r>
      <rPr>
        <sz val="10"/>
        <rFont val="Yu Gothic"/>
        <family val="3"/>
        <charset val="128"/>
      </rPr>
      <t>1</t>
    </r>
    <r>
      <rPr>
        <sz val="10"/>
        <rFont val="Noto Sans CJK SC"/>
        <family val="2"/>
      </rPr>
      <t>件増えていること</t>
    </r>
  </si>
  <si>
    <t>02-01-05</t>
  </si>
  <si>
    <t>ガントにバーが表示され、トースト「保存しました」が出る</t>
  </si>
  <si>
    <t>02-01-06</t>
  </si>
  <si>
    <r>
      <rPr>
        <sz val="10"/>
        <rFont val="Yu Gothic"/>
        <family val="3"/>
        <charset val="128"/>
      </rPr>
      <t xml:space="preserve">1. </t>
    </r>
    <r>
      <rPr>
        <sz val="10"/>
        <rFont val="Noto Sans CJK SC"/>
        <family val="2"/>
      </rPr>
      <t>名前・開始日・終了日を入力して保存</t>
    </r>
  </si>
  <si>
    <t>02-01-07</t>
  </si>
  <si>
    <t>変更履歴パネルに、当該スケジュール追加のエントリ（action:'add'、changes空）が1件表示される。この追加ログに「戻す」ボタンが無いこと</t>
  </si>
  <si>
    <t>03-01-01</t>
  </si>
  <si>
    <r>
      <rPr>
        <sz val="10"/>
        <rFont val="Yu Gothic"/>
        <family val="3"/>
        <charset val="128"/>
      </rPr>
      <t xml:space="preserve">03 </t>
    </r>
    <r>
      <rPr>
        <sz val="10"/>
        <rFont val="Noto Sans CJK SC"/>
        <family val="2"/>
      </rPr>
      <t>表示・ビュー切替</t>
    </r>
  </si>
  <si>
    <t>日</t>
  </si>
  <si>
    <t>ガントチャート表示OK</t>
  </si>
  <si>
    <t>スケジュールが1件以上表示されている／ガント本体表示中（プロジェクト選択済み）</t>
  </si>
  <si>
    <r>
      <rPr>
        <sz val="10"/>
        <rFont val="Yu Gothic"/>
        <family val="3"/>
        <charset val="128"/>
      </rPr>
      <t xml:space="preserve">1. </t>
    </r>
    <r>
      <rPr>
        <sz val="10"/>
        <rFont val="Noto Sans CJK SC"/>
        <family val="2"/>
      </rPr>
      <t>表示粒度「日」ボタンを押す</t>
    </r>
  </si>
  <si>
    <r>
      <rPr>
        <sz val="10"/>
        <rFont val="Yu Gothic"/>
        <family val="3"/>
        <charset val="128"/>
      </rPr>
      <t>1</t>
    </r>
    <r>
      <rPr>
        <sz val="10"/>
        <rFont val="Noto Sans CJK SC"/>
        <family val="2"/>
      </rPr>
      <t>日</t>
    </r>
    <r>
      <rPr>
        <sz val="10"/>
        <rFont val="Yu Gothic"/>
        <family val="3"/>
        <charset val="128"/>
      </rPr>
      <t>1</t>
    </r>
    <r>
      <rPr>
        <sz val="10"/>
        <rFont val="Noto Sans CJK SC"/>
        <family val="2"/>
      </rPr>
      <t>列の粒度でガントが描画される（土日は縞背景）</t>
    </r>
  </si>
  <si>
    <t>03-01-02</t>
  </si>
  <si>
    <t>セカンドヘッダーの表示OK</t>
  </si>
  <si>
    <t>ヘッダー</t>
  </si>
  <si>
    <t>選択されている日ボタンが青に変わる。</t>
  </si>
  <si>
    <t>03-02-01</t>
  </si>
  <si>
    <t>週</t>
  </si>
  <si>
    <r>
      <rPr>
        <sz val="10"/>
        <rFont val="Yu Gothic"/>
        <family val="3"/>
        <charset val="128"/>
      </rPr>
      <t xml:space="preserve">1. </t>
    </r>
    <r>
      <rPr>
        <sz val="10"/>
        <rFont val="Noto Sans CJK SC"/>
        <family val="2"/>
      </rPr>
      <t>表示粒度「週」ボタンを押す</t>
    </r>
  </si>
  <si>
    <t>週粒度でガントが描画され（1日あたり幅が縮小）</t>
  </si>
  <si>
    <t>03-02-02</t>
  </si>
  <si>
    <t>選択されている週ボタンが青に変わる。</t>
  </si>
  <si>
    <t>03-03-01</t>
  </si>
  <si>
    <r>
      <rPr>
        <sz val="10"/>
        <rFont val="Yu Gothic"/>
        <family val="3"/>
        <charset val="128"/>
      </rPr>
      <t>1</t>
    </r>
    <r>
      <rPr>
        <sz val="10"/>
        <rFont val="Noto Sans CJK SC"/>
        <family val="2"/>
      </rPr>
      <t>ヵ月</t>
    </r>
  </si>
  <si>
    <r>
      <rPr>
        <sz val="10"/>
        <rFont val="Yu Gothic"/>
        <family val="3"/>
        <charset val="128"/>
      </rPr>
      <t xml:space="preserve">1. </t>
    </r>
    <r>
      <rPr>
        <sz val="10"/>
        <rFont val="Noto Sans CJK SC"/>
        <family val="2"/>
      </rPr>
      <t>表示粒度「</t>
    </r>
    <r>
      <rPr>
        <sz val="10"/>
        <rFont val="Yu Gothic"/>
        <family val="3"/>
        <charset val="128"/>
      </rPr>
      <t>1</t>
    </r>
    <r>
      <rPr>
        <sz val="10"/>
        <rFont val="Noto Sans CJK SC"/>
        <family val="2"/>
      </rPr>
      <t>ヶ月」ボタンを押す</t>
    </r>
  </si>
  <si>
    <r>
      <rPr>
        <sz val="10"/>
        <rFont val="Yu Gothic"/>
        <family val="3"/>
        <charset val="128"/>
      </rPr>
      <t>1</t>
    </r>
    <r>
      <rPr>
        <sz val="10"/>
        <rFont val="Noto Sans CJK SC"/>
        <family val="2"/>
      </rPr>
      <t>ヶ月粒度でガントが描画される</t>
    </r>
  </si>
  <si>
    <t>03-03-02</t>
  </si>
  <si>
    <t>選択されている1ヵ月ボタンが青に変わる。</t>
  </si>
  <si>
    <t>03-04-01</t>
  </si>
  <si>
    <r>
      <rPr>
        <sz val="10"/>
        <rFont val="Yu Gothic"/>
        <family val="3"/>
        <charset val="128"/>
      </rPr>
      <t>3</t>
    </r>
    <r>
      <rPr>
        <sz val="10"/>
        <rFont val="Noto Sans CJK SC"/>
        <family val="2"/>
      </rPr>
      <t>ヵ月</t>
    </r>
  </si>
  <si>
    <r>
      <rPr>
        <sz val="10"/>
        <rFont val="Yu Gothic"/>
        <family val="3"/>
        <charset val="128"/>
      </rPr>
      <t xml:space="preserve">1. </t>
    </r>
    <r>
      <rPr>
        <sz val="10"/>
        <rFont val="Noto Sans CJK SC"/>
        <family val="2"/>
      </rPr>
      <t>表示粒度「</t>
    </r>
    <r>
      <rPr>
        <sz val="10"/>
        <rFont val="Yu Gothic"/>
        <family val="3"/>
        <charset val="128"/>
      </rPr>
      <t>3</t>
    </r>
    <r>
      <rPr>
        <sz val="10"/>
        <rFont val="Noto Sans CJK SC"/>
        <family val="2"/>
      </rPr>
      <t>ヶ月」ボタンを押す</t>
    </r>
  </si>
  <si>
    <r>
      <rPr>
        <sz val="10"/>
        <rFont val="Yu Gothic"/>
        <family val="3"/>
        <charset val="128"/>
      </rPr>
      <t>3</t>
    </r>
    <r>
      <rPr>
        <sz val="10"/>
        <rFont val="Noto Sans CJK SC"/>
        <family val="2"/>
      </rPr>
      <t>ヶ月粒度でガントが描画される</t>
    </r>
  </si>
  <si>
    <t>03-04-02</t>
  </si>
  <si>
    <t>選択されている3ヵ月ボタンが青に変わる。</t>
  </si>
  <si>
    <t>03-05-01</t>
  </si>
  <si>
    <t>今日</t>
  </si>
  <si>
    <t>ガントチャート遷移OK</t>
  </si>
  <si>
    <t>スケジュールが表示され、今日がタイムライン範囲内／ガント本体表示中（プロジェクト選択済み）</t>
  </si>
  <si>
    <r>
      <rPr>
        <sz val="10"/>
        <rFont val="Yu Gothic"/>
        <family val="3"/>
        <charset val="128"/>
      </rPr>
      <t xml:space="preserve">1. </t>
    </r>
    <r>
      <rPr>
        <sz val="10"/>
        <rFont val="Noto Sans CJK SC"/>
        <family val="2"/>
      </rPr>
      <t>「今日」ボタンを押す</t>
    </r>
  </si>
  <si>
    <t>ガント本体が今日の位置まで横スクロールする（今日位置−100pxを左端に）</t>
  </si>
  <si>
    <t>03-05-02</t>
  </si>
  <si>
    <t>今日マーカー（縦線）の表示</t>
  </si>
  <si>
    <r>
      <rPr>
        <sz val="10"/>
        <rFont val="Yu Gothic"/>
        <family val="3"/>
        <charset val="128"/>
      </rPr>
      <t xml:space="preserve">1. </t>
    </r>
    <r>
      <rPr>
        <sz val="10"/>
        <rFont val="Noto Sans CJK SC"/>
        <family val="2"/>
      </rPr>
      <t>ガント上の今日位置を確認する</t>
    </r>
  </si>
  <si>
    <t>今日の位置に縦線マーカー（「今日」ピン付き）が表示される。今日がタイムライン範囲外の場合は表示されない（null）</t>
  </si>
  <si>
    <t>03-06-01</t>
  </si>
  <si>
    <t>全て閉じる/全て開く</t>
  </si>
  <si>
    <t>全て閉じる　画面遷移OK</t>
  </si>
  <si>
    <t>ヘッダー/左サイドパネル</t>
  </si>
  <si>
    <t>親スケジュールが開いている状態／ガント本体表示中（プロジェクト選択済み）</t>
  </si>
  <si>
    <r>
      <rPr>
        <sz val="10"/>
        <rFont val="Yu Gothic"/>
        <family val="3"/>
        <charset val="128"/>
      </rPr>
      <t xml:space="preserve">1. </t>
    </r>
    <r>
      <rPr>
        <sz val="10"/>
        <rFont val="Noto Sans CJK SC"/>
        <family val="2"/>
      </rPr>
      <t>「全て閉じる」ボタンを押す</t>
    </r>
  </si>
  <si>
    <t>全ての親行が閉じて子行（WBS/タイムライン両方）が非表示になり、ボタンのラベルが「全て開く」に変わる</t>
  </si>
  <si>
    <t>03-06-02</t>
  </si>
  <si>
    <t>全て開く　画面遷移OK</t>
  </si>
  <si>
    <t>親スケジュールが閉じている状態／ガント本体表示中（プロジェクト選択済み）</t>
  </si>
  <si>
    <r>
      <rPr>
        <sz val="10"/>
        <rFont val="Yu Gothic"/>
        <family val="3"/>
        <charset val="128"/>
      </rPr>
      <t xml:space="preserve">1. </t>
    </r>
    <r>
      <rPr>
        <sz val="10"/>
        <rFont val="Noto Sans CJK SC"/>
        <family val="2"/>
      </rPr>
      <t>「全て開く」ボタンを押す</t>
    </r>
  </si>
  <si>
    <t>全ての親行が開いて子行（WBS/タイムライン両方）が表示され、ボタンのラベルが「全て閉じる」に変わる</t>
  </si>
  <si>
    <t>03-06-03</t>
  </si>
  <si>
    <t>左サイドパネルの＋ーボタン操作でヘッダーが連動する</t>
  </si>
  <si>
    <t>親子構造のスケジュールが存在／ガント本体表示中（プロジェクト選択済み）</t>
  </si>
  <si>
    <r>
      <rPr>
        <sz val="10"/>
        <rFont val="Yu Gothic"/>
        <family val="3"/>
        <charset val="128"/>
      </rPr>
      <t>1. WBS</t>
    </r>
    <r>
      <rPr>
        <sz val="10"/>
        <rFont val="Noto Sans CJK SC"/>
        <family val="2"/>
      </rPr>
      <t>各行の＋／−ボタンで開閉する</t>
    </r>
  </si>
  <si>
    <t>ヘッダー「全て閉じる」「全て開く」に連動</t>
  </si>
  <si>
    <t>03-07-01</t>
  </si>
  <si>
    <t>開始（フィルタ）</t>
  </si>
  <si>
    <t>画面表示OK　ヘッダー＋左サイドパネル</t>
  </si>
  <si>
    <t>スケジュールが表示されている／ガント本体表示中（プロジェクト選択済み）</t>
  </si>
  <si>
    <r>
      <rPr>
        <sz val="10"/>
        <rFont val="Yu Gothic"/>
        <family val="3"/>
        <charset val="128"/>
      </rPr>
      <t xml:space="preserve">1. </t>
    </r>
    <r>
      <rPr>
        <sz val="10"/>
        <rFont val="Noto Sans CJK SC"/>
        <family val="2"/>
      </rPr>
      <t>「開始」列トグルボタンを押す（</t>
    </r>
    <r>
      <rPr>
        <sz val="10"/>
        <rFont val="Yu Gothic"/>
        <family val="3"/>
        <charset val="128"/>
      </rPr>
      <t>ON</t>
    </r>
    <r>
      <rPr>
        <sz val="10"/>
        <rFont val="Noto Sans CJK SC"/>
        <family val="2"/>
      </rPr>
      <t>）</t>
    </r>
  </si>
  <si>
    <r>
      <rPr>
        <sz val="10"/>
        <rFont val="Yu Gothic"/>
        <family val="3"/>
        <charset val="128"/>
      </rPr>
      <t>WBS</t>
    </r>
    <r>
      <rPr>
        <sz val="10"/>
        <rFont val="Noto Sans CJK SC"/>
        <family val="2"/>
      </rPr>
      <t>に開始日列が表示され、ボタンがアクティブ表示になる（ガント本体も連動再描画）</t>
    </r>
  </si>
  <si>
    <t>03-07-02</t>
  </si>
  <si>
    <t>画面解除OK</t>
  </si>
  <si>
    <t>開始日列が表示されている／ガント本体表示中（プロジェクト選択済み）</t>
  </si>
  <si>
    <r>
      <rPr>
        <sz val="10"/>
        <rFont val="Yu Gothic"/>
        <family val="3"/>
        <charset val="128"/>
      </rPr>
      <t xml:space="preserve">1. </t>
    </r>
    <r>
      <rPr>
        <sz val="10"/>
        <rFont val="Noto Sans CJK SC"/>
        <family val="2"/>
      </rPr>
      <t>「開始」列トグルボタンを押す（</t>
    </r>
    <r>
      <rPr>
        <sz val="10"/>
        <rFont val="Yu Gothic"/>
        <family val="3"/>
        <charset val="128"/>
      </rPr>
      <t>OFF</t>
    </r>
    <r>
      <rPr>
        <sz val="10"/>
        <rFont val="Noto Sans CJK SC"/>
        <family val="2"/>
      </rPr>
      <t>）</t>
    </r>
  </si>
  <si>
    <r>
      <rPr>
        <sz val="10"/>
        <rFont val="Yu Gothic"/>
        <family val="3"/>
        <charset val="128"/>
      </rPr>
      <t>WBS</t>
    </r>
    <r>
      <rPr>
        <sz val="10"/>
        <rFont val="Noto Sans CJK SC"/>
        <family val="2"/>
      </rPr>
      <t>の開始日列が非表示になり、ボタンのアクティブ表示が解除される</t>
    </r>
  </si>
  <si>
    <t>03-08-01</t>
  </si>
  <si>
    <t>終了（フィルタ）</t>
  </si>
  <si>
    <r>
      <rPr>
        <sz val="10"/>
        <rFont val="Yu Gothic"/>
        <family val="3"/>
        <charset val="128"/>
      </rPr>
      <t xml:space="preserve">1. </t>
    </r>
    <r>
      <rPr>
        <sz val="10"/>
        <rFont val="Noto Sans CJK SC"/>
        <family val="2"/>
      </rPr>
      <t>「終了」列トグルボタンを押す（</t>
    </r>
    <r>
      <rPr>
        <sz val="10"/>
        <rFont val="Yu Gothic"/>
        <family val="3"/>
        <charset val="128"/>
      </rPr>
      <t>ON</t>
    </r>
    <r>
      <rPr>
        <sz val="10"/>
        <rFont val="Noto Sans CJK SC"/>
        <family val="2"/>
      </rPr>
      <t>）</t>
    </r>
  </si>
  <si>
    <r>
      <rPr>
        <sz val="10"/>
        <rFont val="Yu Gothic"/>
        <family val="3"/>
        <charset val="128"/>
      </rPr>
      <t>WBS</t>
    </r>
    <r>
      <rPr>
        <sz val="10"/>
        <rFont val="Noto Sans CJK SC"/>
        <family val="2"/>
      </rPr>
      <t>に終了日列が表示され、ボタンがアクティブ表示になる（ガント本体も連動再描画）</t>
    </r>
  </si>
  <si>
    <t>03-08-02</t>
  </si>
  <si>
    <t>終了日列が表示されている／ガント本体表示中（プロジェクト選択済み）</t>
  </si>
  <si>
    <r>
      <rPr>
        <sz val="10"/>
        <rFont val="Yu Gothic"/>
        <family val="3"/>
        <charset val="128"/>
      </rPr>
      <t xml:space="preserve">1. </t>
    </r>
    <r>
      <rPr>
        <sz val="10"/>
        <rFont val="Noto Sans CJK SC"/>
        <family val="2"/>
      </rPr>
      <t>「終了」列トグルボタンを押す（</t>
    </r>
    <r>
      <rPr>
        <sz val="10"/>
        <rFont val="Yu Gothic"/>
        <family val="3"/>
        <charset val="128"/>
      </rPr>
      <t>OFF</t>
    </r>
    <r>
      <rPr>
        <sz val="10"/>
        <rFont val="Noto Sans CJK SC"/>
        <family val="2"/>
      </rPr>
      <t>）</t>
    </r>
  </si>
  <si>
    <r>
      <rPr>
        <sz val="10"/>
        <rFont val="Yu Gothic"/>
        <family val="3"/>
        <charset val="128"/>
      </rPr>
      <t>WBS</t>
    </r>
    <r>
      <rPr>
        <sz val="10"/>
        <rFont val="Noto Sans CJK SC"/>
        <family val="2"/>
      </rPr>
      <t>の終了日列が非表示になり、ボタンのアクティブ表示が解除される</t>
    </r>
  </si>
  <si>
    <t>03-09-01</t>
  </si>
  <si>
    <t>状態（フィルタ）</t>
  </si>
  <si>
    <r>
      <rPr>
        <sz val="10"/>
        <rFont val="Yu Gothic"/>
        <family val="3"/>
        <charset val="128"/>
      </rPr>
      <t xml:space="preserve">1. </t>
    </r>
    <r>
      <rPr>
        <sz val="10"/>
        <rFont val="Noto Sans CJK SC"/>
        <family val="2"/>
      </rPr>
      <t>「状態」列トグルボタンを押す（</t>
    </r>
    <r>
      <rPr>
        <sz val="10"/>
        <rFont val="Yu Gothic"/>
        <family val="3"/>
        <charset val="128"/>
      </rPr>
      <t>ON</t>
    </r>
    <r>
      <rPr>
        <sz val="10"/>
        <rFont val="Noto Sans CJK SC"/>
        <family val="2"/>
      </rPr>
      <t>）</t>
    </r>
  </si>
  <si>
    <r>
      <rPr>
        <sz val="10"/>
        <rFont val="Yu Gothic"/>
        <family val="3"/>
        <charset val="128"/>
      </rPr>
      <t>WBS</t>
    </r>
    <r>
      <rPr>
        <sz val="10"/>
        <rFont val="Noto Sans CJK SC"/>
        <family val="2"/>
      </rPr>
      <t>に状態（ステータス）列が表示され、ボタンがアクティブ表示になる（ガント本体も連動再描画）</t>
    </r>
  </si>
  <si>
    <t>03-09-02</t>
  </si>
  <si>
    <t>状態列が表示されている／ガント本体表示中（プロジェクト選択済み）</t>
  </si>
  <si>
    <r>
      <rPr>
        <sz val="10"/>
        <rFont val="Yu Gothic"/>
        <family val="3"/>
        <charset val="128"/>
      </rPr>
      <t xml:space="preserve">1. </t>
    </r>
    <r>
      <rPr>
        <sz val="10"/>
        <rFont val="Noto Sans CJK SC"/>
        <family val="2"/>
      </rPr>
      <t>「状態」列トグルボタンを押す（</t>
    </r>
    <r>
      <rPr>
        <sz val="10"/>
        <rFont val="Yu Gothic"/>
        <family val="3"/>
        <charset val="128"/>
      </rPr>
      <t>OFF</t>
    </r>
    <r>
      <rPr>
        <sz val="10"/>
        <rFont val="Noto Sans CJK SC"/>
        <family val="2"/>
      </rPr>
      <t>）</t>
    </r>
  </si>
  <si>
    <r>
      <rPr>
        <sz val="10"/>
        <rFont val="Yu Gothic"/>
        <family val="3"/>
        <charset val="128"/>
      </rPr>
      <t>WBS</t>
    </r>
    <r>
      <rPr>
        <sz val="10"/>
        <rFont val="Noto Sans CJK SC"/>
        <family val="2"/>
      </rPr>
      <t>の状態列が非表示になり、ボタンのアクティブ表示が解除される</t>
    </r>
  </si>
  <si>
    <t>04-01-01</t>
  </si>
  <si>
    <r>
      <rPr>
        <sz val="10"/>
        <rFont val="Yu Gothic"/>
        <family val="3"/>
        <charset val="128"/>
      </rPr>
      <t xml:space="preserve">04 </t>
    </r>
    <r>
      <rPr>
        <sz val="10"/>
        <rFont val="Noto Sans CJK SC"/>
        <family val="2"/>
      </rPr>
      <t>データ入出力</t>
    </r>
  </si>
  <si>
    <t>データ取込</t>
  </si>
  <si>
    <t>形式が対応していない。</t>
  </si>
  <si>
    <t>警告モーダル</t>
  </si>
  <si>
    <r>
      <rPr>
        <sz val="10"/>
        <rFont val="Yu Gothic"/>
        <family val="3"/>
        <charset val="128"/>
      </rPr>
      <t>projects/schedules</t>
    </r>
    <r>
      <rPr>
        <sz val="10"/>
        <rFont val="Noto Sans CJK SC"/>
        <family val="2"/>
      </rPr>
      <t>キーの無い</t>
    </r>
    <r>
      <rPr>
        <sz val="10"/>
        <rFont val="Yu Gothic"/>
        <family val="3"/>
        <charset val="128"/>
      </rPr>
      <t>JSON</t>
    </r>
    <r>
      <rPr>
        <sz val="10"/>
        <rFont val="Noto Sans CJK SC"/>
        <family val="2"/>
      </rPr>
      <t>／ヘッダー「取込」ボタンで差分モーダルを開いた状態（プロジェクト選択済み）</t>
    </r>
  </si>
  <si>
    <r>
      <rPr>
        <sz val="10"/>
        <rFont val="Yu Gothic"/>
        <family val="3"/>
        <charset val="128"/>
      </rPr>
      <t xml:space="preserve">1. </t>
    </r>
    <r>
      <rPr>
        <sz val="10"/>
        <rFont val="Noto Sans CJK SC"/>
        <family val="2"/>
      </rPr>
      <t>不正な</t>
    </r>
    <r>
      <rPr>
        <sz val="10"/>
        <rFont val="Yu Gothic"/>
        <family val="3"/>
        <charset val="128"/>
      </rPr>
      <t>JSON</t>
    </r>
    <r>
      <rPr>
        <sz val="10"/>
        <rFont val="Noto Sans CJK SC"/>
        <family val="2"/>
      </rPr>
      <t>を取込</t>
    </r>
  </si>
  <si>
    <t>「無効なファイルです」アラートが表示され、どのストアもレコード件数・内容が変化しない（DB無変更）</t>
  </si>
  <si>
    <t>04-01-02</t>
  </si>
  <si>
    <r>
      <rPr>
        <sz val="10"/>
        <rFont val="Yu Gothic"/>
        <family val="3"/>
        <charset val="128"/>
      </rPr>
      <t>Changelog</t>
    </r>
    <r>
      <rPr>
        <sz val="10"/>
        <rFont val="Noto Sans CJK SC"/>
        <family val="2"/>
      </rPr>
      <t>以外の全８ストアの追加情報が表示される。</t>
    </r>
  </si>
  <si>
    <t>データ取込モーダル</t>
  </si>
  <si>
    <t>有効なJSON（projects/schedulesキーあり）／ヘッダー「取込」ボタンで差分モーダルを開いた状態（プロジェクト選択済み）</t>
  </si>
  <si>
    <r>
      <rPr>
        <sz val="10"/>
        <rFont val="Yu Gothic"/>
        <family val="3"/>
        <charset val="128"/>
      </rPr>
      <t xml:space="preserve">1. </t>
    </r>
    <r>
      <rPr>
        <sz val="10"/>
        <rFont val="Noto Sans CJK SC"/>
        <family val="2"/>
      </rPr>
      <t>データ取込で</t>
    </r>
    <r>
      <rPr>
        <sz val="10"/>
        <rFont val="Yu Gothic"/>
        <family val="3"/>
        <charset val="128"/>
      </rPr>
      <t>JSON</t>
    </r>
    <r>
      <rPr>
        <sz val="10"/>
        <rFont val="Noto Sans CJK SC"/>
        <family val="2"/>
      </rPr>
      <t>を選択</t>
    </r>
  </si>
  <si>
    <t>差分モーダルに、取込対象（8ストア分）の追加/変更/削除の差分が表示される</t>
  </si>
  <si>
    <t>04-01-03</t>
  </si>
  <si>
    <t>既存のプロジェクトのDBは削除することが選べる</t>
  </si>
  <si>
    <t>有効なJSON。既存プロジェクトが存在／ヘッダー「取込」ボタンで差分モーダルを開いた状態（プロジェクト選択済み）</t>
  </si>
  <si>
    <r>
      <rPr>
        <sz val="10"/>
        <rFont val="Yu Gothic"/>
        <family val="3"/>
        <charset val="128"/>
      </rPr>
      <t xml:space="preserve">1. </t>
    </r>
    <r>
      <rPr>
        <sz val="10"/>
        <rFont val="Noto Sans CJK SC"/>
        <family val="2"/>
      </rPr>
      <t>取込時に既存プロジェクト</t>
    </r>
    <r>
      <rPr>
        <sz val="10"/>
        <rFont val="Yu Gothic"/>
        <family val="3"/>
        <charset val="128"/>
      </rPr>
      <t>DB</t>
    </r>
    <r>
      <rPr>
        <sz val="10"/>
        <rFont val="Noto Sans CJK SC"/>
        <family val="2"/>
      </rPr>
      <t>を削除するかを選択</t>
    </r>
  </si>
  <si>
    <t>取込時に既存プロジェクトDBを削除する／しないを選択できる</t>
  </si>
  <si>
    <t>04-01-04</t>
  </si>
  <si>
    <t>画面表示OK</t>
  </si>
  <si>
    <t>左サイドパネル/右サイドパネル群/ガントチャート</t>
  </si>
  <si>
    <r>
      <rPr>
        <sz val="10"/>
        <rFont val="Yu Gothic"/>
        <family val="3"/>
        <charset val="128"/>
      </rPr>
      <t xml:space="preserve">1. </t>
    </r>
    <r>
      <rPr>
        <sz val="10"/>
        <rFont val="Noto Sans CJK SC"/>
        <family val="2"/>
      </rPr>
      <t>データ取込で</t>
    </r>
    <r>
      <rPr>
        <sz val="10"/>
        <rFont val="Yu Gothic"/>
        <family val="3"/>
        <charset val="128"/>
      </rPr>
      <t>JSON</t>
    </r>
    <r>
      <rPr>
        <sz val="10"/>
        <rFont val="Noto Sans CJK SC"/>
        <family val="2"/>
      </rPr>
      <t xml:space="preserve">を選択
</t>
    </r>
    <r>
      <rPr>
        <sz val="10"/>
        <rFont val="Yu Gothic"/>
        <family val="3"/>
        <charset val="128"/>
      </rPr>
      <t xml:space="preserve">2. </t>
    </r>
    <r>
      <rPr>
        <sz val="10"/>
        <rFont val="Noto Sans CJK SC"/>
        <family val="2"/>
      </rPr>
      <t xml:space="preserve">差分モーダルで一部にチェック
</t>
    </r>
    <r>
      <rPr>
        <sz val="10"/>
        <rFont val="Yu Gothic"/>
        <family val="3"/>
        <charset val="128"/>
      </rPr>
      <t xml:space="preserve">3. </t>
    </r>
    <r>
      <rPr>
        <sz val="10"/>
        <rFont val="Noto Sans CJK SC"/>
        <family val="2"/>
      </rPr>
      <t>「選択した変更を適用」→</t>
    </r>
    <r>
      <rPr>
        <sz val="10"/>
        <rFont val="Yu Gothic"/>
        <family val="3"/>
        <charset val="128"/>
      </rPr>
      <t>confirm OK</t>
    </r>
  </si>
  <si>
    <t>選択項目のみ反映され、トースト「取込完了：新規n件／変更n件／削除n件」が表示される</t>
  </si>
  <si>
    <t>04-01-05</t>
  </si>
  <si>
    <r>
      <rPr>
        <sz val="10"/>
        <rFont val="Yu Gothic"/>
        <family val="3"/>
        <charset val="128"/>
      </rPr>
      <t>DB</t>
    </r>
    <r>
      <rPr>
        <sz val="10"/>
        <rFont val="Noto Sans CJK SC"/>
        <family val="2"/>
      </rPr>
      <t>反映</t>
    </r>
    <r>
      <rPr>
        <sz val="10"/>
        <rFont val="Yu Gothic"/>
        <family val="3"/>
        <charset val="128"/>
      </rPr>
      <t>OK</t>
    </r>
  </si>
  <si>
    <t>全DB</t>
  </si>
  <si>
    <t>対象ストアに選択項目のみが反映されていること</t>
  </si>
  <si>
    <t>04-01-06</t>
  </si>
  <si>
    <t>変更履歴反映OK</t>
  </si>
  <si>
    <t>各プロジェクト選択時の変更履歴</t>
  </si>
  <si>
    <t>変更履歴パネルに、適用した件数分だけエントリが積まれる（1件ごとにログ。一括の特別扱いなし）</t>
  </si>
  <si>
    <t>04-02-01</t>
  </si>
  <si>
    <t>データ出力（JSON）</t>
  </si>
  <si>
    <r>
      <rPr>
        <sz val="10"/>
        <rFont val="Yu Gothic"/>
        <family val="3"/>
        <charset val="128"/>
      </rPr>
      <t>json</t>
    </r>
    <r>
      <rPr>
        <sz val="10"/>
        <rFont val="Noto Sans CJK SC"/>
        <family val="2"/>
      </rPr>
      <t>ファイルが出力される。中身</t>
    </r>
    <r>
      <rPr>
        <sz val="10"/>
        <rFont val="Yu Gothic"/>
        <family val="3"/>
        <charset val="128"/>
      </rPr>
      <t>OK</t>
    </r>
  </si>
  <si>
    <t>【データ出力】</t>
  </si>
  <si>
    <t>出力されたファイル</t>
  </si>
  <si>
    <t>プロジェクト選択済み。出力対象データが存在／プロジェクト選択済み。ヘッダーの出力ボタンから操作</t>
  </si>
  <si>
    <r>
      <rPr>
        <sz val="10"/>
        <rFont val="Yu Gothic"/>
        <family val="3"/>
        <charset val="128"/>
      </rPr>
      <t xml:space="preserve">1. </t>
    </r>
    <r>
      <rPr>
        <sz val="10"/>
        <rFont val="Noto Sans CJK SC"/>
        <family val="2"/>
      </rPr>
      <t>「出力</t>
    </r>
    <r>
      <rPr>
        <sz val="10"/>
        <rFont val="Yu Gothic"/>
        <family val="3"/>
        <charset val="128"/>
      </rPr>
      <t>(JSON)</t>
    </r>
    <r>
      <rPr>
        <sz val="10"/>
        <rFont val="Noto Sans CJK SC"/>
        <family val="2"/>
      </rPr>
      <t>」ボタンを押す</t>
    </r>
  </si>
  <si>
    <r>
      <rPr>
        <sz val="10"/>
        <rFont val="Yu Gothic"/>
        <family val="3"/>
        <charset val="128"/>
      </rPr>
      <t>JSON</t>
    </r>
    <r>
      <rPr>
        <sz val="10"/>
        <rFont val="Noto Sans CJK SC"/>
        <family val="2"/>
      </rPr>
      <t>ファイルがダウンロードされ、中身に</t>
    </r>
    <r>
      <rPr>
        <sz val="10"/>
        <rFont val="Yu Gothic"/>
        <family val="3"/>
        <charset val="128"/>
      </rPr>
      <t>Changelog</t>
    </r>
    <r>
      <rPr>
        <sz val="10"/>
        <rFont val="Noto Sans CJK SC"/>
        <family val="2"/>
      </rPr>
      <t>以外の全</t>
    </r>
    <r>
      <rPr>
        <sz val="10"/>
        <rFont val="Yu Gothic"/>
        <family val="3"/>
        <charset val="128"/>
      </rPr>
      <t>8</t>
    </r>
    <r>
      <rPr>
        <sz val="10"/>
        <rFont val="Noto Sans CJK SC"/>
        <family val="2"/>
      </rPr>
      <t>ストア分のデータが含まれる</t>
    </r>
  </si>
  <si>
    <t>04-03-01</t>
  </si>
  <si>
    <r>
      <rPr>
        <sz val="10"/>
        <rFont val="Yu Gothic"/>
        <family val="3"/>
        <charset val="128"/>
      </rPr>
      <t>PDF</t>
    </r>
    <r>
      <rPr>
        <sz val="10"/>
        <rFont val="Noto Sans CJK SC"/>
        <family val="2"/>
      </rPr>
      <t>出力</t>
    </r>
  </si>
  <si>
    <r>
      <rPr>
        <sz val="10"/>
        <rFont val="Yu Gothic"/>
        <family val="3"/>
        <charset val="128"/>
      </rPr>
      <t>PDF</t>
    </r>
    <r>
      <rPr>
        <sz val="10"/>
        <rFont val="Noto Sans CJK SC"/>
        <family val="2"/>
      </rPr>
      <t>ファイルが出力される。中身</t>
    </r>
    <r>
      <rPr>
        <sz val="10"/>
        <rFont val="Yu Gothic"/>
        <family val="3"/>
        <charset val="128"/>
      </rPr>
      <t>OK</t>
    </r>
  </si>
  <si>
    <t>プロジェクト選択済み。ヘッダーの出力ボタンから操作</t>
  </si>
  <si>
    <r>
      <rPr>
        <sz val="10"/>
        <rFont val="Yu Gothic"/>
        <family val="3"/>
        <charset val="128"/>
      </rPr>
      <t xml:space="preserve">1. </t>
    </r>
    <r>
      <rPr>
        <sz val="10"/>
        <rFont val="Noto Sans CJK SC"/>
        <family val="2"/>
      </rPr>
      <t>「</t>
    </r>
    <r>
      <rPr>
        <sz val="10"/>
        <rFont val="Yu Gothic"/>
        <family val="3"/>
        <charset val="128"/>
      </rPr>
      <t>PDF</t>
    </r>
    <r>
      <rPr>
        <sz val="10"/>
        <rFont val="Noto Sans CJK SC"/>
        <family val="2"/>
      </rPr>
      <t>」ボタンを押す</t>
    </r>
  </si>
  <si>
    <r>
      <rPr>
        <sz val="10"/>
        <rFont val="Yu Gothic"/>
        <family val="3"/>
        <charset val="128"/>
      </rPr>
      <t>PDF</t>
    </r>
    <r>
      <rPr>
        <sz val="10"/>
        <rFont val="Noto Sans CJK SC"/>
        <family val="2"/>
      </rPr>
      <t>ファイルがダウンロードされ、ガント等の内容が出力される（</t>
    </r>
    <r>
      <rPr>
        <sz val="10"/>
        <rFont val="Yu Gothic"/>
        <family val="3"/>
        <charset val="128"/>
      </rPr>
      <t>html2canvas/jsPDF</t>
    </r>
    <r>
      <rPr>
        <sz val="10"/>
        <rFont val="Noto Sans CJK SC"/>
        <family val="2"/>
      </rPr>
      <t>）</t>
    </r>
  </si>
  <si>
    <t>04-04-01</t>
  </si>
  <si>
    <r>
      <rPr>
        <sz val="10"/>
        <rFont val="Yu Gothic"/>
        <family val="3"/>
        <charset val="128"/>
      </rPr>
      <t>Excel</t>
    </r>
    <r>
      <rPr>
        <sz val="10"/>
        <rFont val="Noto Sans CJK SC"/>
        <family val="2"/>
      </rPr>
      <t>出力</t>
    </r>
  </si>
  <si>
    <r>
      <rPr>
        <sz val="10"/>
        <rFont val="Yu Gothic"/>
        <family val="3"/>
        <charset val="128"/>
      </rPr>
      <t>Exce</t>
    </r>
    <r>
      <rPr>
        <sz val="10"/>
        <rFont val="Noto Sans CJK SC"/>
        <family val="2"/>
      </rPr>
      <t>ｌファイルが出力される。中身</t>
    </r>
    <r>
      <rPr>
        <sz val="10"/>
        <rFont val="Yu Gothic"/>
        <family val="3"/>
        <charset val="128"/>
      </rPr>
      <t>OK</t>
    </r>
  </si>
  <si>
    <r>
      <rPr>
        <sz val="10"/>
        <rFont val="Yu Gothic"/>
        <family val="3"/>
        <charset val="128"/>
      </rPr>
      <t xml:space="preserve">1. </t>
    </r>
    <r>
      <rPr>
        <sz val="10"/>
        <rFont val="Noto Sans CJK SC"/>
        <family val="2"/>
      </rPr>
      <t>「</t>
    </r>
    <r>
      <rPr>
        <sz val="10"/>
        <rFont val="Yu Gothic"/>
        <family val="3"/>
        <charset val="128"/>
      </rPr>
      <t>Excel</t>
    </r>
    <r>
      <rPr>
        <sz val="10"/>
        <rFont val="Noto Sans CJK SC"/>
        <family val="2"/>
      </rPr>
      <t>」ボタンを押す</t>
    </r>
  </si>
  <si>
    <r>
      <rPr>
        <sz val="10"/>
        <rFont val="Yu Gothic"/>
        <family val="3"/>
        <charset val="128"/>
      </rPr>
      <t>Excel</t>
    </r>
    <r>
      <rPr>
        <sz val="10"/>
        <rFont val="Noto Sans CJK SC"/>
        <family val="2"/>
      </rPr>
      <t>ファイルがダウンロードされ、シート</t>
    </r>
    <r>
      <rPr>
        <sz val="10"/>
        <rFont val="Yu Gothic"/>
        <family val="3"/>
        <charset val="128"/>
      </rPr>
      <t>1</t>
    </r>
    <r>
      <rPr>
        <sz val="10"/>
        <rFont val="Noto Sans CJK SC"/>
        <family val="2"/>
      </rPr>
      <t>（</t>
    </r>
    <r>
      <rPr>
        <sz val="10"/>
        <rFont val="Yu Gothic"/>
        <family val="3"/>
        <charset val="128"/>
      </rPr>
      <t>No/WBS/</t>
    </r>
    <r>
      <rPr>
        <sz val="10"/>
        <rFont val="Noto Sans CJK SC"/>
        <family val="2"/>
      </rPr>
      <t>スケジュール</t>
    </r>
    <r>
      <rPr>
        <sz val="10"/>
        <rFont val="Yu Gothic"/>
        <family val="3"/>
        <charset val="128"/>
      </rPr>
      <t>/</t>
    </r>
    <r>
      <rPr>
        <sz val="10"/>
        <rFont val="Noto Sans CJK SC"/>
        <family val="2"/>
      </rPr>
      <t>階層</t>
    </r>
    <r>
      <rPr>
        <sz val="10"/>
        <rFont val="Yu Gothic"/>
        <family val="3"/>
        <charset val="128"/>
      </rPr>
      <t>/</t>
    </r>
    <r>
      <rPr>
        <sz val="10"/>
        <rFont val="Noto Sans CJK SC"/>
        <family val="2"/>
      </rPr>
      <t>開始日</t>
    </r>
    <r>
      <rPr>
        <sz val="10"/>
        <rFont val="Yu Gothic"/>
        <family val="3"/>
        <charset val="128"/>
      </rPr>
      <t>/</t>
    </r>
    <r>
      <rPr>
        <sz val="10"/>
        <rFont val="Noto Sans CJK SC"/>
        <family val="2"/>
      </rPr>
      <t>終了日</t>
    </r>
    <r>
      <rPr>
        <sz val="10"/>
        <rFont val="Yu Gothic"/>
        <family val="3"/>
        <charset val="128"/>
      </rPr>
      <t>/</t>
    </r>
    <r>
      <rPr>
        <sz val="10"/>
        <rFont val="Noto Sans CJK SC"/>
        <family val="2"/>
      </rPr>
      <t>期間</t>
    </r>
    <r>
      <rPr>
        <sz val="10"/>
        <rFont val="Yu Gothic"/>
        <family val="3"/>
        <charset val="128"/>
      </rPr>
      <t>/</t>
    </r>
    <r>
      <rPr>
        <sz val="10"/>
        <rFont val="Noto Sans CJK SC"/>
        <family val="2"/>
      </rPr>
      <t>担当者</t>
    </r>
    <r>
      <rPr>
        <sz val="10"/>
        <rFont val="Yu Gothic"/>
        <family val="3"/>
        <charset val="128"/>
      </rPr>
      <t>/</t>
    </r>
    <r>
      <rPr>
        <sz val="10"/>
        <rFont val="Noto Sans CJK SC"/>
        <family val="2"/>
      </rPr>
      <t>ステータス＋日付列）等が出力される</t>
    </r>
  </si>
  <si>
    <t>05-01-01</t>
  </si>
  <si>
    <r>
      <rPr>
        <sz val="10"/>
        <rFont val="Yu Gothic"/>
        <family val="3"/>
        <charset val="128"/>
      </rPr>
      <t xml:space="preserve">05 </t>
    </r>
    <r>
      <rPr>
        <sz val="10"/>
        <rFont val="Noto Sans CJK SC"/>
        <family val="2"/>
      </rPr>
      <t>スナップショット</t>
    </r>
  </si>
  <si>
    <t>スナップショット</t>
  </si>
  <si>
    <t>保存画面OK</t>
  </si>
  <si>
    <t>スナップショットパネル</t>
  </si>
  <si>
    <t>スケジュール数件／ヘッダー「スナップショット」ボタンでスナップショットパネルを開いた状態（プロジェクト選択済み）</t>
  </si>
  <si>
    <r>
      <rPr>
        <sz val="10"/>
        <rFont val="Yu Gothic"/>
        <family val="3"/>
        <charset val="128"/>
      </rPr>
      <t xml:space="preserve">1. </t>
    </r>
    <r>
      <rPr>
        <sz val="10"/>
        <rFont val="Noto Sans CJK SC"/>
        <family val="2"/>
      </rPr>
      <t>スナップショット保存</t>
    </r>
  </si>
  <si>
    <t>一覧にプロジェクト名＋日付・作成日時・スケジュール件数・期間が表示される</t>
  </si>
  <si>
    <t>05-01-02</t>
  </si>
  <si>
    <t>保存DBOK</t>
  </si>
  <si>
    <t>スナップショットDB</t>
  </si>
  <si>
    <t>snapshots</t>
  </si>
  <si>
    <t>スナップショットパネルを開いた状態（プロジェクト選択済み）。スケジュール数件</t>
  </si>
  <si>
    <r>
      <rPr>
        <sz val="10"/>
        <rFont val="Yu Gothic"/>
        <family val="3"/>
        <charset val="128"/>
      </rPr>
      <t>snapshots</t>
    </r>
    <r>
      <rPr>
        <sz val="10"/>
        <rFont val="Noto Sans CJK SC"/>
        <family val="2"/>
      </rPr>
      <t>ストアにスナップショット（</t>
    </r>
    <r>
      <rPr>
        <sz val="10"/>
        <rFont val="Yu Gothic"/>
        <family val="3"/>
        <charset val="128"/>
      </rPr>
      <t>project/schedules</t>
    </r>
    <r>
      <rPr>
        <sz val="10"/>
        <rFont val="Noto Sans CJK SC"/>
        <family val="2"/>
      </rPr>
      <t>等のデータ）が</t>
    </r>
    <r>
      <rPr>
        <sz val="10"/>
        <rFont val="Yu Gothic"/>
        <family val="3"/>
        <charset val="128"/>
      </rPr>
      <t>1</t>
    </r>
    <r>
      <rPr>
        <sz val="10"/>
        <rFont val="Noto Sans CJK SC"/>
        <family val="2"/>
      </rPr>
      <t>件保存されていること</t>
    </r>
  </si>
  <si>
    <t>05-01-03</t>
  </si>
  <si>
    <t>差分比較　差分がない場合</t>
  </si>
  <si>
    <t>スナップショットあり／現在と差分なし／ヘッダー「スナップショット」ボタンでスナップショットパネルを開いた状態（プロジェクト選択済み）</t>
  </si>
  <si>
    <r>
      <rPr>
        <sz val="10"/>
        <rFont val="Yu Gothic"/>
        <family val="3"/>
        <charset val="128"/>
      </rPr>
      <t xml:space="preserve">1. </t>
    </r>
    <r>
      <rPr>
        <sz val="10"/>
        <rFont val="Noto Sans CJK SC"/>
        <family val="2"/>
      </rPr>
      <t>比較を開く</t>
    </r>
  </si>
  <si>
    <t>比較モーダルで追加/変更/削除がいずれも0件（差分なし）として表示される</t>
  </si>
  <si>
    <t>05-01-04</t>
  </si>
  <si>
    <t>差分比較　差分がある場合</t>
  </si>
  <si>
    <t>保存後にスケジュールを1件変更／ヘッダー「スナップショット」ボタンでスナップショットパネルを開いた状態（プロジェクト選択済み）</t>
  </si>
  <si>
    <t>追加／変更／削除に分類され色分け表示される。変更はフィールド単位（フィールド名：旧値→新値）で表示され、変えた1件が『変更』側に出る</t>
  </si>
  <si>
    <t>05-01-05</t>
  </si>
  <si>
    <t>この状態に復元する　差分がある場合　画面</t>
  </si>
  <si>
    <t>スナップショットパネル/ガントチャート全体</t>
  </si>
  <si>
    <t>スナップショットあり／現在と差分あり／ヘッダー「スナップショット」ボタンでスナップショットパネルを開いた状態（プロジェクト選択済み）</t>
  </si>
  <si>
    <r>
      <rPr>
        <sz val="10"/>
        <rFont val="Yu Gothic"/>
        <family val="3"/>
        <charset val="128"/>
      </rPr>
      <t xml:space="preserve">1. </t>
    </r>
    <r>
      <rPr>
        <sz val="10"/>
        <rFont val="Noto Sans CJK SC"/>
        <family val="2"/>
      </rPr>
      <t>「この状態に復元」→</t>
    </r>
    <r>
      <rPr>
        <sz val="10"/>
        <rFont val="Yu Gothic"/>
        <family val="3"/>
        <charset val="128"/>
      </rPr>
      <t>confirm OK</t>
    </r>
  </si>
  <si>
    <t>復元トーストが表示され、ガントがスナップショット時点に戻る</t>
  </si>
  <si>
    <t>05-01-06</t>
  </si>
  <si>
    <t>この状態に復元する　差分がある場合　DB反映</t>
  </si>
  <si>
    <t>復元する関連DB</t>
  </si>
  <si>
    <r>
      <rPr>
        <sz val="10"/>
        <rFont val="Yu Gothic"/>
        <family val="3"/>
        <charset val="128"/>
      </rPr>
      <t>schedules</t>
    </r>
    <r>
      <rPr>
        <sz val="10"/>
        <rFont val="Noto Sans CJK SC"/>
        <family val="2"/>
      </rPr>
      <t>（＋</t>
    </r>
    <r>
      <rPr>
        <sz val="10"/>
        <rFont val="Yu Gothic"/>
        <family val="3"/>
        <charset val="128"/>
      </rPr>
      <t>projects</t>
    </r>
    <r>
      <rPr>
        <sz val="10"/>
        <rFont val="Noto Sans CJK SC"/>
        <family val="2"/>
      </rPr>
      <t>）</t>
    </r>
  </si>
  <si>
    <t>スナップショットパネルを開いた状態（プロジェクト選択済み）。スナップショットあり／現在と差分あり</t>
  </si>
  <si>
    <r>
      <rPr>
        <sz val="10"/>
        <rFont val="Yu Gothic"/>
        <family val="3"/>
        <charset val="128"/>
      </rPr>
      <t>schedules</t>
    </r>
    <r>
      <rPr>
        <sz val="10"/>
        <rFont val="Noto Sans CJK SC"/>
        <family val="2"/>
      </rPr>
      <t>がスナップショット時点の内容に置換され、</t>
    </r>
    <r>
      <rPr>
        <sz val="10"/>
        <rFont val="Yu Gothic"/>
        <family val="3"/>
        <charset val="128"/>
      </rPr>
      <t>project</t>
    </r>
    <r>
      <rPr>
        <sz val="10"/>
        <rFont val="Noto Sans CJK SC"/>
        <family val="2"/>
      </rPr>
      <t>の</t>
    </r>
    <r>
      <rPr>
        <sz val="10"/>
        <rFont val="Yu Gothic"/>
        <family val="3"/>
        <charset val="128"/>
      </rPr>
      <t>startDate/endDate/milestones</t>
    </r>
    <r>
      <rPr>
        <sz val="10"/>
        <rFont val="Noto Sans CJK SC"/>
        <family val="2"/>
      </rPr>
      <t>も書き戻される（</t>
    </r>
    <r>
      <rPr>
        <sz val="10"/>
        <rFont val="Yu Gothic"/>
        <family val="3"/>
        <charset val="128"/>
      </rPr>
      <t>changelog</t>
    </r>
    <r>
      <rPr>
        <sz val="10"/>
        <rFont val="Noto Sans CJK SC"/>
        <family val="2"/>
      </rPr>
      <t>には記録されない）</t>
    </r>
  </si>
  <si>
    <t>05-01-07</t>
  </si>
  <si>
    <t>この状態に復元する　差分がない場合</t>
  </si>
  <si>
    <t>復元してもエラーは発生しないが、内容に変化がない（差分が無いため実質同一状態）</t>
  </si>
  <si>
    <t>05-01-08</t>
  </si>
  <si>
    <t>各スナップショットファイル　削除　画面表示OK</t>
  </si>
  <si>
    <t>スナップショットが1件以上ある／ヘッダー「スナップショット」ボタンでスナップショットパネルを開いた状態（プロジェクト選択済み）</t>
  </si>
  <si>
    <r>
      <rPr>
        <sz val="10"/>
        <rFont val="Yu Gothic"/>
        <family val="3"/>
        <charset val="128"/>
      </rPr>
      <t xml:space="preserve">1. </t>
    </r>
    <r>
      <rPr>
        <sz val="10"/>
        <rFont val="Noto Sans CJK SC"/>
        <family val="2"/>
      </rPr>
      <t>対象スナップショットの削除操作</t>
    </r>
  </si>
  <si>
    <t>一覧から当該スナップショットが消える</t>
  </si>
  <si>
    <t>05-01-09</t>
  </si>
  <si>
    <t>各スナップショットファイル　削除　DB反映OK</t>
  </si>
  <si>
    <r>
      <rPr>
        <sz val="10"/>
        <rFont val="Yu Gothic"/>
        <family val="3"/>
        <charset val="128"/>
      </rPr>
      <t>snapshots</t>
    </r>
    <r>
      <rPr>
        <sz val="10"/>
        <rFont val="Noto Sans CJK SC"/>
        <family val="2"/>
      </rPr>
      <t>ストアから当該レコードが消える</t>
    </r>
  </si>
  <si>
    <t>05-01-10</t>
  </si>
  <si>
    <t>ヘッダー件数項目　スナップショット作成時　数値反映</t>
  </si>
  <si>
    <t>プロジェクト選択済み／ヘッダー「スナップショット」ボタンでスナップショットパネルを開いた状態</t>
  </si>
  <si>
    <r>
      <rPr>
        <sz val="10"/>
        <rFont val="Yu Gothic"/>
        <family val="3"/>
        <charset val="128"/>
      </rPr>
      <t xml:space="preserve">1. </t>
    </r>
    <r>
      <rPr>
        <sz val="10"/>
        <rFont val="Noto Sans CJK SC"/>
        <family val="2"/>
      </rPr>
      <t>スナップショットを保存</t>
    </r>
  </si>
  <si>
    <t>ヘッダーのスナップショット件数表示が+1される</t>
  </si>
  <si>
    <t>05-01-11</t>
  </si>
  <si>
    <t>ヘッダー件数項目　スナップショット削除時　数値反映</t>
  </si>
  <si>
    <r>
      <rPr>
        <sz val="10"/>
        <rFont val="Yu Gothic"/>
        <family val="3"/>
        <charset val="128"/>
      </rPr>
      <t xml:space="preserve">1. </t>
    </r>
    <r>
      <rPr>
        <sz val="10"/>
        <rFont val="Noto Sans CJK SC"/>
        <family val="2"/>
      </rPr>
      <t>対象スナップショットを削除</t>
    </r>
  </si>
  <si>
    <t>ヘッダーのスナップショット件数表示が−1される</t>
  </si>
  <si>
    <t>05-01-12</t>
  </si>
  <si>
    <t>閉じるボタン　画面遷移Ok</t>
  </si>
  <si>
    <t>ヘッダー「スナップショット」ボタンでスナップショットパネルを開いた状態（プロジェクト選択済み）</t>
  </si>
  <si>
    <r>
      <rPr>
        <sz val="10"/>
        <rFont val="Yu Gothic"/>
        <family val="3"/>
        <charset val="128"/>
      </rPr>
      <t xml:space="preserve">1. </t>
    </r>
    <r>
      <rPr>
        <sz val="10"/>
        <rFont val="Noto Sans CJK SC"/>
        <family val="2"/>
      </rPr>
      <t>閉じるボタンを押す</t>
    </r>
  </si>
  <si>
    <t>スナップショットパネルが閉じる　メイン画面へ</t>
  </si>
  <si>
    <t>06-01-01</t>
  </si>
  <si>
    <r>
      <rPr>
        <sz val="10"/>
        <rFont val="Yu Gothic"/>
        <family val="3"/>
        <charset val="128"/>
      </rPr>
      <t xml:space="preserve">06 </t>
    </r>
    <r>
      <rPr>
        <sz val="10"/>
        <rFont val="Noto Sans CJK SC"/>
        <family val="2"/>
      </rPr>
      <t>即時メモ</t>
    </r>
  </si>
  <si>
    <t>即時メモ</t>
  </si>
  <si>
    <t>未入力時 Ctrl＋Enter　/投稿ボタンを押す</t>
  </si>
  <si>
    <t>即時メモパネル</t>
  </si>
  <si>
    <t>ヘッダー「即時メモ」ボタンで即時メモパネルを開いた状態（プロジェクト選択済み）</t>
  </si>
  <si>
    <r>
      <rPr>
        <sz val="10"/>
        <rFont val="Yu Gothic"/>
        <family val="3"/>
        <charset val="128"/>
      </rPr>
      <t xml:space="preserve">1. </t>
    </r>
    <r>
      <rPr>
        <sz val="10"/>
        <rFont val="Noto Sans CJK SC"/>
        <family val="2"/>
      </rPr>
      <t>未入力のまま</t>
    </r>
    <r>
      <rPr>
        <sz val="10"/>
        <rFont val="Yu Gothic"/>
        <family val="3"/>
        <charset val="128"/>
      </rPr>
      <t>Ctrl+Enter</t>
    </r>
    <r>
      <rPr>
        <sz val="10"/>
        <rFont val="Noto Sans CJK SC"/>
        <family val="2"/>
      </rPr>
      <t>／投稿ボタンを押す</t>
    </r>
  </si>
  <si>
    <t>エラーが発生しないが空の即時メモは保存されない（一覧に追加されない）</t>
  </si>
  <si>
    <t>06-01-02</t>
  </si>
  <si>
    <t>入力時 Ctrl＋Enter メモ保存　画面表示OK</t>
  </si>
  <si>
    <r>
      <rPr>
        <sz val="10"/>
        <rFont val="Yu Gothic"/>
        <family val="3"/>
        <charset val="128"/>
      </rPr>
      <t xml:space="preserve">1. </t>
    </r>
    <r>
      <rPr>
        <sz val="10"/>
        <rFont val="Noto Sans CJK SC"/>
        <family val="2"/>
      </rPr>
      <t>本文を入力して</t>
    </r>
    <r>
      <rPr>
        <sz val="10"/>
        <rFont val="Yu Gothic"/>
        <family val="3"/>
        <charset val="128"/>
      </rPr>
      <t>Ctrl+Enter</t>
    </r>
  </si>
  <si>
    <t>即時メモが一覧に追加表示される</t>
  </si>
  <si>
    <t>06-01-03</t>
  </si>
  <si>
    <t>入力時 Ctrl＋Enter メモ保存　DB反映OK</t>
  </si>
  <si>
    <t>クイックメモDB</t>
  </si>
  <si>
    <t>quickmemos</t>
  </si>
  <si>
    <t>即時メモパネルを開いた状態（プロジェクト選択済み）</t>
  </si>
  <si>
    <r>
      <rPr>
        <sz val="10"/>
        <rFont val="Yu Gothic"/>
        <family val="3"/>
        <charset val="128"/>
      </rPr>
      <t>quickmemos</t>
    </r>
    <r>
      <rPr>
        <sz val="10"/>
        <rFont val="Noto Sans CJK SC"/>
        <family val="2"/>
      </rPr>
      <t>ストアに入力した即時メモが</t>
    </r>
    <r>
      <rPr>
        <sz val="10"/>
        <rFont val="Yu Gothic"/>
        <family val="3"/>
        <charset val="128"/>
      </rPr>
      <t>1</t>
    </r>
    <r>
      <rPr>
        <sz val="10"/>
        <rFont val="Noto Sans CJK SC"/>
        <family val="2"/>
      </rPr>
      <t>件保存されていること</t>
    </r>
  </si>
  <si>
    <t>06-01-04</t>
  </si>
  <si>
    <t>入力時 投稿ボタンを押す　メモ保存　画面表示OK</t>
  </si>
  <si>
    <r>
      <rPr>
        <sz val="10"/>
        <rFont val="Yu Gothic"/>
        <family val="3"/>
        <charset val="128"/>
      </rPr>
      <t xml:space="preserve">1. </t>
    </r>
    <r>
      <rPr>
        <sz val="10"/>
        <rFont val="Noto Sans CJK SC"/>
        <family val="2"/>
      </rPr>
      <t>本文を入力して投稿ボタンを押す</t>
    </r>
  </si>
  <si>
    <t>06-01-05</t>
  </si>
  <si>
    <t>入力時 投稿ボタンを押す　メモ保存　DB反映OK</t>
  </si>
  <si>
    <t>06-01-06</t>
  </si>
  <si>
    <t>各即時メモ　削除　DB反映OK</t>
  </si>
  <si>
    <t>即時メモが1件以上ある／ヘッダー「即時メモ」ボタンで即時メモパネルを開いた状態（プロジェクト選択済み）</t>
  </si>
  <si>
    <r>
      <rPr>
        <sz val="10"/>
        <rFont val="Yu Gothic"/>
        <family val="3"/>
        <charset val="128"/>
      </rPr>
      <t xml:space="preserve">1. </t>
    </r>
    <r>
      <rPr>
        <sz val="10"/>
        <rFont val="Noto Sans CJK SC"/>
        <family val="2"/>
      </rPr>
      <t>対象の即時メモの削除操作</t>
    </r>
  </si>
  <si>
    <r>
      <rPr>
        <sz val="10"/>
        <rFont val="Yu Gothic"/>
        <family val="3"/>
        <charset val="128"/>
      </rPr>
      <t>quickmemos</t>
    </r>
    <r>
      <rPr>
        <sz val="10"/>
        <rFont val="Noto Sans CJK SC"/>
        <family val="2"/>
      </rPr>
      <t>ストアから当該レコードが消える</t>
    </r>
  </si>
  <si>
    <t>06-01-07</t>
  </si>
  <si>
    <t>各即時メモ　削除　画面反映OK</t>
  </si>
  <si>
    <t>一覧から当該即時メモが消える</t>
  </si>
  <si>
    <t>06-01-08</t>
  </si>
  <si>
    <t>全削除　DBが0件のとき</t>
  </si>
  <si>
    <t>即時メモが0件／ヘッダー「即時メモ」ボタンで即時メモパネルを開いた状態（プロジェクト選択済み）</t>
  </si>
  <si>
    <r>
      <rPr>
        <sz val="10"/>
        <rFont val="Yu Gothic"/>
        <family val="3"/>
        <charset val="128"/>
      </rPr>
      <t xml:space="preserve">1. </t>
    </r>
    <r>
      <rPr>
        <sz val="10"/>
        <rFont val="Noto Sans CJK SC"/>
        <family val="2"/>
      </rPr>
      <t>全削除（クリア）ボタンを押す</t>
    </r>
  </si>
  <si>
    <t>「メモがありません」トースト通知が表示される。</t>
  </si>
  <si>
    <t>06-01-09</t>
  </si>
  <si>
    <t>全削除　即時メモ　削除　DB反映OK</t>
  </si>
  <si>
    <r>
      <rPr>
        <sz val="10"/>
        <rFont val="Yu Gothic"/>
        <family val="3"/>
        <charset val="128"/>
      </rPr>
      <t>quickmemos</t>
    </r>
    <r>
      <rPr>
        <sz val="10"/>
        <rFont val="Noto Sans CJK SC"/>
        <family val="2"/>
      </rPr>
      <t>ストアが</t>
    </r>
    <r>
      <rPr>
        <sz val="10"/>
        <rFont val="Yu Gothic"/>
        <family val="3"/>
        <charset val="128"/>
      </rPr>
      <t>0</t>
    </r>
    <r>
      <rPr>
        <sz val="10"/>
        <rFont val="Noto Sans CJK SC"/>
        <family val="2"/>
      </rPr>
      <t>件になる</t>
    </r>
  </si>
  <si>
    <t>06-01-10</t>
  </si>
  <si>
    <t>全削除　即時メモ　削除　画面反映OK</t>
  </si>
  <si>
    <r>
      <rPr>
        <sz val="10"/>
        <rFont val="Yu Gothic"/>
        <family val="3"/>
        <charset val="128"/>
      </rPr>
      <t>n</t>
    </r>
    <r>
      <rPr>
        <sz val="10"/>
        <rFont val="Noto Sans CJK SC"/>
        <family val="2"/>
      </rPr>
      <t>件の即時メモを消去しますか？アラートで</t>
    </r>
    <r>
      <rPr>
        <sz val="10"/>
        <rFont val="Yu Gothic"/>
        <family val="3"/>
        <charset val="128"/>
      </rPr>
      <t>OK</t>
    </r>
    <r>
      <rPr>
        <sz val="10"/>
        <rFont val="Noto Sans CJK SC"/>
        <family val="2"/>
      </rPr>
      <t>ボタンをクリックした後、一覧が空になる</t>
    </r>
  </si>
  <si>
    <t>06-01-11</t>
  </si>
  <si>
    <t>即時メモパネルが閉じる　メイン画面へ</t>
  </si>
  <si>
    <t>07-01-01</t>
  </si>
  <si>
    <r>
      <rPr>
        <sz val="10"/>
        <rFont val="Yu Gothic"/>
        <family val="3"/>
        <charset val="128"/>
      </rPr>
      <t xml:space="preserve">07 </t>
    </r>
    <r>
      <rPr>
        <sz val="10"/>
        <rFont val="Noto Sans CJK SC"/>
        <family val="2"/>
      </rPr>
      <t>メモ</t>
    </r>
  </si>
  <si>
    <t>メモ</t>
  </si>
  <si>
    <t>新規メモボタン　画面表示OK</t>
  </si>
  <si>
    <t>メモパネル</t>
  </si>
  <si>
    <t>ヘッダー「メモ」ボタンでメモパネルを開いた状態（プロジェクト選択済み）</t>
  </si>
  <si>
    <r>
      <rPr>
        <sz val="10"/>
        <rFont val="Yu Gothic"/>
        <family val="3"/>
        <charset val="128"/>
      </rPr>
      <t xml:space="preserve">1. </t>
    </r>
    <r>
      <rPr>
        <sz val="10"/>
        <rFont val="Noto Sans CJK SC"/>
        <family val="2"/>
      </rPr>
      <t>「＋新規メモ」ボタンを押す</t>
    </r>
  </si>
  <si>
    <t>新規メモが作成され、編集エリアに表示される</t>
  </si>
  <si>
    <t>07-01-02</t>
  </si>
  <si>
    <t>新規メモ　追加　メモDB反映OK</t>
  </si>
  <si>
    <t>メモDB</t>
  </si>
  <si>
    <t>memos</t>
  </si>
  <si>
    <r>
      <rPr>
        <sz val="10"/>
        <rFont val="Yu Gothic"/>
        <family val="3"/>
        <charset val="128"/>
      </rPr>
      <t xml:space="preserve">1. </t>
    </r>
    <r>
      <rPr>
        <sz val="10"/>
        <rFont val="Noto Sans CJK SC"/>
        <family val="2"/>
      </rPr>
      <t>「＋新規メモ」で新規メモを作成</t>
    </r>
  </si>
  <si>
    <r>
      <rPr>
        <sz val="10"/>
        <rFont val="Yu Gothic"/>
        <family val="3"/>
        <charset val="128"/>
      </rPr>
      <t>memos</t>
    </r>
    <r>
      <rPr>
        <sz val="10"/>
        <rFont val="Noto Sans CJK SC"/>
        <family val="2"/>
      </rPr>
      <t>ストアに</t>
    </r>
    <r>
      <rPr>
        <sz val="10"/>
        <rFont val="Yu Gothic"/>
        <family val="3"/>
        <charset val="128"/>
      </rPr>
      <t>1</t>
    </r>
    <r>
      <rPr>
        <sz val="10"/>
        <rFont val="Noto Sans CJK SC"/>
        <family val="2"/>
      </rPr>
      <t>件増える</t>
    </r>
  </si>
  <si>
    <t>07-01-03</t>
  </si>
  <si>
    <t>編集機能　画面表示OK</t>
  </si>
  <si>
    <t>メモが1件以上ある／ヘッダー「メモ」ボタンでメモパネルを開いた状態（プロジェクト選択済み）</t>
  </si>
  <si>
    <r>
      <rPr>
        <sz val="10"/>
        <rFont val="Yu Gothic"/>
        <family val="3"/>
        <charset val="128"/>
      </rPr>
      <t xml:space="preserve">1. </t>
    </r>
    <r>
      <rPr>
        <sz val="10"/>
        <rFont val="Noto Sans CJK SC"/>
        <family val="2"/>
      </rPr>
      <t>編集タブを選択して本文を編集</t>
    </r>
  </si>
  <si>
    <t>編集タブでMarkdown本文を編集できる</t>
  </si>
  <si>
    <t>07-01-04</t>
  </si>
  <si>
    <t>プレビュー機能　画面表示OK</t>
  </si>
  <si>
    <r>
      <rPr>
        <sz val="10"/>
        <rFont val="Yu Gothic"/>
        <family val="3"/>
        <charset val="128"/>
      </rPr>
      <t xml:space="preserve">1. </t>
    </r>
    <r>
      <rPr>
        <sz val="10"/>
        <rFont val="Noto Sans CJK SC"/>
        <family val="2"/>
      </rPr>
      <t>プレビュータブを選択</t>
    </r>
  </si>
  <si>
    <t>プレビュータブでサニタイズ済みのMarkdownプレビューが表示される</t>
  </si>
  <si>
    <t>07-01-05</t>
  </si>
  <si>
    <t>分割（編集＋プレビュー）画面表示OK</t>
  </si>
  <si>
    <r>
      <rPr>
        <sz val="10"/>
        <rFont val="Yu Gothic"/>
        <family val="3"/>
        <charset val="128"/>
      </rPr>
      <t xml:space="preserve">1. </t>
    </r>
    <r>
      <rPr>
        <sz val="10"/>
        <rFont val="Noto Sans CJK SC"/>
        <family val="2"/>
      </rPr>
      <t>分割タブを選択</t>
    </r>
  </si>
  <si>
    <t>分割タブで左に編集エリア・右にプレビューが並んで表示される</t>
  </si>
  <si>
    <t>07-01-06</t>
  </si>
  <si>
    <t>タイトル未入力時</t>
  </si>
  <si>
    <r>
      <rPr>
        <sz val="10"/>
        <rFont val="Yu Gothic"/>
        <family val="3"/>
        <charset val="128"/>
      </rPr>
      <t xml:space="preserve">1. </t>
    </r>
    <r>
      <rPr>
        <sz val="10"/>
        <rFont val="Noto Sans CJK SC"/>
        <family val="2"/>
      </rPr>
      <t>タイトルを未入力のまま保存／編集する</t>
    </r>
  </si>
  <si>
    <t>タイトル未入力でも扱えるが一覧では無題として表示される</t>
  </si>
  <si>
    <t>07-01-07</t>
  </si>
  <si>
    <t>削除ボタン　タイトルがある場合　画面OK</t>
  </si>
  <si>
    <t>タイトルのあるメモが存在／ヘッダー「メモ」ボタンでメモパネルを開いた状態（プロジェクト選択済み）</t>
  </si>
  <si>
    <r>
      <rPr>
        <sz val="10"/>
        <rFont val="Yu Gothic"/>
        <family val="3"/>
        <charset val="128"/>
      </rPr>
      <t xml:space="preserve">1. </t>
    </r>
    <r>
      <rPr>
        <sz val="10"/>
        <rFont val="Noto Sans CJK SC"/>
        <family val="2"/>
      </rPr>
      <t>削除ボタンを押す</t>
    </r>
  </si>
  <si>
    <t>一覧から当該メモが消える</t>
  </si>
  <si>
    <t>07-01-08</t>
  </si>
  <si>
    <t>削除ボタン　タイトルがない場合　画面OK</t>
  </si>
  <si>
    <t>タイトルの無いメモが存在／ヘッダー「メモ」ボタンでメモパネルを開いた状態（プロジェクト選択済み）</t>
  </si>
  <si>
    <t>一覧から当該（無題）メモが消える</t>
  </si>
  <si>
    <t>07-01-09</t>
  </si>
  <si>
    <t>削除ボタン　DB反映OK</t>
  </si>
  <si>
    <r>
      <rPr>
        <sz val="10"/>
        <rFont val="Yu Gothic"/>
        <family val="3"/>
        <charset val="128"/>
      </rPr>
      <t>memos</t>
    </r>
    <r>
      <rPr>
        <sz val="10"/>
        <rFont val="Noto Sans CJK SC"/>
        <family val="2"/>
      </rPr>
      <t>ストアから当該レコードが消える</t>
    </r>
  </si>
  <si>
    <t>07-01-10</t>
  </si>
  <si>
    <t>メモパネルが閉じる</t>
  </si>
  <si>
    <t>08-01-01</t>
  </si>
  <si>
    <r>
      <rPr>
        <sz val="10"/>
        <rFont val="Yu Gothic"/>
        <family val="3"/>
        <charset val="128"/>
      </rPr>
      <t xml:space="preserve">08 </t>
    </r>
    <r>
      <rPr>
        <sz val="10"/>
        <rFont val="Noto Sans CJK SC"/>
        <family val="2"/>
      </rPr>
      <t>コメント</t>
    </r>
  </si>
  <si>
    <t>コメント</t>
  </si>
  <si>
    <t>ヘッダー件数項目　コメント作成時　数値反映</t>
  </si>
  <si>
    <t>コメントパネル</t>
  </si>
  <si>
    <t>スケジュール1件／ヘッダー「コメント」ボタンでコメントパネルを開いた状態（プロジェクト選択済み）</t>
  </si>
  <si>
    <r>
      <rPr>
        <sz val="10"/>
        <rFont val="Yu Gothic"/>
        <family val="3"/>
        <charset val="128"/>
      </rPr>
      <t xml:space="preserve">1. </t>
    </r>
    <r>
      <rPr>
        <sz val="10"/>
        <rFont val="Noto Sans CJK SC"/>
        <family val="2"/>
      </rPr>
      <t>コメントを投稿</t>
    </r>
  </si>
  <si>
    <t>ヘッダーのコメント件数表示が+1される</t>
  </si>
  <si>
    <t>08-01-02</t>
  </si>
  <si>
    <t>ヘッダー件数項目　コメント削除時　数値反映</t>
  </si>
  <si>
    <t>コメント1件以上／ヘッダー「コメント」ボタンでコメントパネルを開いた状態（プロジェクト選択済み）</t>
  </si>
  <si>
    <r>
      <rPr>
        <sz val="10"/>
        <rFont val="Yu Gothic"/>
        <family val="3"/>
        <charset val="128"/>
      </rPr>
      <t xml:space="preserve">1. </t>
    </r>
    <r>
      <rPr>
        <sz val="10"/>
        <rFont val="Noto Sans CJK SC"/>
        <family val="2"/>
      </rPr>
      <t>コメントを削除</t>
    </r>
  </si>
  <si>
    <t>ヘッダーのコメント件数表示が−1される</t>
  </si>
  <si>
    <t>08-01-03</t>
  </si>
  <si>
    <t>サブヘッダー件数項目　コメント作成時　数値反映</t>
  </si>
  <si>
    <t>サブヘッダーのコメント件数表示が+1される（スケジュール事のコメント件数）</t>
  </si>
  <si>
    <t>08-01-04</t>
  </si>
  <si>
    <t>サブヘッダー件数項目　コメント削除時　数値反映</t>
  </si>
  <si>
    <t>サブヘッダーのコメント件数表示が−1される（スケジュール事のコメント件数）</t>
  </si>
  <si>
    <t>08-01-05</t>
  </si>
  <si>
    <t>スケジュールDB件数０件時の画面表示</t>
  </si>
  <si>
    <t>comments(by_taskId)</t>
  </si>
  <si>
    <t>コメント対象のスケジュールが0件／ヘッダー「コメント」ボタンでコメントパネルを開いた状態（プロジェクト選択済み）</t>
  </si>
  <si>
    <r>
      <rPr>
        <sz val="10"/>
        <rFont val="Yu Gothic"/>
        <family val="3"/>
        <charset val="128"/>
      </rPr>
      <t xml:space="preserve">1. </t>
    </r>
    <r>
      <rPr>
        <sz val="10"/>
        <rFont val="Noto Sans CJK SC"/>
        <family val="2"/>
      </rPr>
      <t>表示を確認する（コメント対象スケジュールが</t>
    </r>
    <r>
      <rPr>
        <sz val="10"/>
        <rFont val="Yu Gothic"/>
        <family val="3"/>
        <charset val="128"/>
      </rPr>
      <t>0</t>
    </r>
    <r>
      <rPr>
        <sz val="10"/>
        <rFont val="Noto Sans CJK SC"/>
        <family val="2"/>
      </rPr>
      <t>件のとき）</t>
    </r>
  </si>
  <si>
    <t>対象スケジュールが無く、コメント追加機能が表示されない（空状態）</t>
  </si>
  <si>
    <t>08-01-06</t>
  </si>
  <si>
    <t>スケジュールDB件数１件以上の画面表示コメント追加機能が表示</t>
  </si>
  <si>
    <t>スケジュールが1件以上ある／ヘッダー「コメント」ボタンでコメントパネルを開いた状態（プロジェクト選択済み）</t>
  </si>
  <si>
    <r>
      <rPr>
        <sz val="10"/>
        <rFont val="Yu Gothic"/>
        <family val="3"/>
        <charset val="128"/>
      </rPr>
      <t xml:space="preserve">1. </t>
    </r>
    <r>
      <rPr>
        <sz val="10"/>
        <rFont val="Noto Sans CJK SC"/>
        <family val="2"/>
      </rPr>
      <t>表示を確認する（スケジュールが</t>
    </r>
    <r>
      <rPr>
        <sz val="10"/>
        <rFont val="Yu Gothic"/>
        <family val="3"/>
        <charset val="128"/>
      </rPr>
      <t>1</t>
    </r>
    <r>
      <rPr>
        <sz val="10"/>
        <rFont val="Noto Sans CJK SC"/>
        <family val="2"/>
      </rPr>
      <t>件以上あるとき）</t>
    </r>
  </si>
  <si>
    <t>コメント入力（追加）機能が表示される</t>
  </si>
  <si>
    <t>08-01-07</t>
  </si>
  <si>
    <t>コメントパネルからコメント投稿　コメントが保存できる　画面表示</t>
  </si>
  <si>
    <r>
      <rPr>
        <sz val="10"/>
        <rFont val="Yu Gothic"/>
        <family val="3"/>
        <charset val="128"/>
      </rPr>
      <t xml:space="preserve">1. </t>
    </r>
    <r>
      <rPr>
        <sz val="10"/>
        <rFont val="Noto Sans CJK SC"/>
        <family val="2"/>
      </rPr>
      <t>コメントパネルでコメント本文を入力して投稿</t>
    </r>
  </si>
  <si>
    <t>コメント一覧に追加表示される（※成功トーストは無い＝仕様）</t>
  </si>
  <si>
    <t>08-01-08</t>
  </si>
  <si>
    <t>コメントパネル　コメント作成　DB保存OK</t>
  </si>
  <si>
    <t>コメントパネル/コメントDB</t>
  </si>
  <si>
    <r>
      <rPr>
        <sz val="10"/>
        <rFont val="Yu Gothic"/>
        <family val="3"/>
        <charset val="128"/>
      </rPr>
      <t>comments</t>
    </r>
    <r>
      <rPr>
        <sz val="10"/>
        <rFont val="Noto Sans CJK SC"/>
        <family val="2"/>
      </rPr>
      <t>ストア（</t>
    </r>
    <r>
      <rPr>
        <sz val="10"/>
        <rFont val="Yu Gothic"/>
        <family val="3"/>
        <charset val="128"/>
      </rPr>
      <t>by_taskId</t>
    </r>
    <r>
      <rPr>
        <sz val="10"/>
        <rFont val="Noto Sans CJK SC"/>
        <family val="2"/>
      </rPr>
      <t>＝対象スケジュール</t>
    </r>
    <r>
      <rPr>
        <sz val="10"/>
        <rFont val="Yu Gothic"/>
        <family val="3"/>
        <charset val="128"/>
      </rPr>
      <t>id</t>
    </r>
    <r>
      <rPr>
        <sz val="10"/>
        <rFont val="Noto Sans CJK SC"/>
        <family val="2"/>
      </rPr>
      <t>）に</t>
    </r>
    <r>
      <rPr>
        <sz val="10"/>
        <rFont val="Yu Gothic"/>
        <family val="3"/>
        <charset val="128"/>
      </rPr>
      <t>text/taskId</t>
    </r>
    <r>
      <rPr>
        <sz val="10"/>
        <rFont val="Noto Sans CJK SC"/>
        <family val="2"/>
      </rPr>
      <t>を持つレコードが</t>
    </r>
    <r>
      <rPr>
        <sz val="10"/>
        <rFont val="Yu Gothic"/>
        <family val="3"/>
        <charset val="128"/>
      </rPr>
      <t>1</t>
    </r>
    <r>
      <rPr>
        <sz val="10"/>
        <rFont val="Noto Sans CJK SC"/>
        <family val="2"/>
      </rPr>
      <t>件増える。</t>
    </r>
    <r>
      <rPr>
        <sz val="10"/>
        <rFont val="Yu Gothic"/>
        <family val="3"/>
        <charset val="128"/>
      </rPr>
      <t>changelog</t>
    </r>
    <r>
      <rPr>
        <sz val="10"/>
        <rFont val="Noto Sans CJK SC"/>
        <family val="2"/>
      </rPr>
      <t>には記録されない</t>
    </r>
  </si>
  <si>
    <t>08-01-09</t>
  </si>
  <si>
    <t>スケジュール編集　コメント作成　DB保存OK</t>
  </si>
  <si>
    <t>コメントDB/左サイドパネル</t>
  </si>
  <si>
    <r>
      <rPr>
        <sz val="10"/>
        <rFont val="Yu Gothic"/>
        <family val="3"/>
        <charset val="128"/>
      </rPr>
      <t xml:space="preserve">1. </t>
    </r>
    <r>
      <rPr>
        <sz val="10"/>
        <rFont val="Noto Sans CJK SC"/>
        <family val="2"/>
      </rPr>
      <t>スケジュール編集画面からコメント本文を入力して投稿</t>
    </r>
  </si>
  <si>
    <r>
      <rPr>
        <sz val="10"/>
        <rFont val="Yu Gothic"/>
        <family val="3"/>
        <charset val="128"/>
      </rPr>
      <t>comments</t>
    </r>
    <r>
      <rPr>
        <sz val="10"/>
        <rFont val="Noto Sans CJK SC"/>
        <family val="2"/>
      </rPr>
      <t>ストア（</t>
    </r>
    <r>
      <rPr>
        <sz val="10"/>
        <rFont val="Yu Gothic"/>
        <family val="3"/>
        <charset val="128"/>
      </rPr>
      <t>by_taskId</t>
    </r>
    <r>
      <rPr>
        <sz val="10"/>
        <rFont val="Noto Sans CJK SC"/>
        <family val="2"/>
      </rPr>
      <t>）にレコードが</t>
    </r>
    <r>
      <rPr>
        <sz val="10"/>
        <rFont val="Yu Gothic"/>
        <family val="3"/>
        <charset val="128"/>
      </rPr>
      <t>1</t>
    </r>
    <r>
      <rPr>
        <sz val="10"/>
        <rFont val="Noto Sans CJK SC"/>
        <family val="2"/>
      </rPr>
      <t>件増える。</t>
    </r>
    <r>
      <rPr>
        <sz val="10"/>
        <rFont val="Yu Gothic"/>
        <family val="3"/>
        <charset val="128"/>
      </rPr>
      <t>changelog</t>
    </r>
    <r>
      <rPr>
        <sz val="10"/>
        <rFont val="Noto Sans CJK SC"/>
        <family val="2"/>
      </rPr>
      <t>には記録されない</t>
    </r>
  </si>
  <si>
    <t>08-01-10</t>
  </si>
  <si>
    <t>スケジュール複数時：コメントするスケジュールを切り替え可能</t>
  </si>
  <si>
    <t>複数スケジュールが存在／ヘッダー「コメント」ボタンでコメントパネルを開いた状態（プロジェクト選択済み）</t>
  </si>
  <si>
    <r>
      <rPr>
        <sz val="10"/>
        <rFont val="Yu Gothic"/>
        <family val="3"/>
        <charset val="128"/>
      </rPr>
      <t xml:space="preserve">1. </t>
    </r>
    <r>
      <rPr>
        <sz val="10"/>
        <rFont val="Noto Sans CJK SC"/>
        <family val="2"/>
      </rPr>
      <t>コメント対象スケジュールを切り替える</t>
    </r>
  </si>
  <si>
    <t>コメントを付ける対象スケジュールを切り替えられる</t>
  </si>
  <si>
    <t>08-01-11</t>
  </si>
  <si>
    <t>スケジュールごとまとまってコメント表示</t>
  </si>
  <si>
    <t>複数スケジュールにコメントあり／ヘッダー「コメント」ボタンでコメントパネルを開いた状態（プロジェクト選択済み）</t>
  </si>
  <si>
    <r>
      <rPr>
        <sz val="10"/>
        <rFont val="Yu Gothic"/>
        <family val="3"/>
        <charset val="128"/>
      </rPr>
      <t xml:space="preserve">1. </t>
    </r>
    <r>
      <rPr>
        <sz val="10"/>
        <rFont val="Noto Sans CJK SC"/>
        <family val="2"/>
      </rPr>
      <t>コメントのグループ表示（スケジュール単位のまとまり）を確認する</t>
    </r>
  </si>
  <si>
    <t>全スケジュールのコメントがスケジュール名でグループ化されて一覧表示される</t>
  </si>
  <si>
    <t>08-01-12</t>
  </si>
  <si>
    <t>コメントが0件のときの表示</t>
  </si>
  <si>
    <t>コメントが0件／ヘッダー「コメント」ボタンでコメントパネルを開いた状態（プロジェクト選択済み）</t>
  </si>
  <si>
    <r>
      <rPr>
        <sz val="10"/>
        <rFont val="Yu Gothic"/>
        <family val="3"/>
        <charset val="128"/>
      </rPr>
      <t xml:space="preserve">1. </t>
    </r>
    <r>
      <rPr>
        <sz val="10"/>
        <rFont val="Noto Sans CJK SC"/>
        <family val="2"/>
      </rPr>
      <t>表示を確認する（コメントが</t>
    </r>
    <r>
      <rPr>
        <sz val="10"/>
        <rFont val="Yu Gothic"/>
        <family val="3"/>
        <charset val="128"/>
      </rPr>
      <t>0</t>
    </r>
    <r>
      <rPr>
        <sz val="10"/>
        <rFont val="Noto Sans CJK SC"/>
        <family val="2"/>
      </rPr>
      <t>件のとき）</t>
    </r>
  </si>
  <si>
    <t>コメント0件時の空表示になる</t>
  </si>
  <si>
    <t>08-01-13</t>
  </si>
  <si>
    <t>▼ボタンで閉じる開くができる</t>
  </si>
  <si>
    <t>コメントがグループ表示されている／ヘッダー「コメント」ボタンでコメントパネルを開いた状態（プロジェクト選択済み）</t>
  </si>
  <si>
    <r>
      <rPr>
        <sz val="10"/>
        <rFont val="Yu Gothic"/>
        <family val="3"/>
        <charset val="128"/>
      </rPr>
      <t>1. ▼</t>
    </r>
    <r>
      <rPr>
        <sz val="10"/>
        <rFont val="Noto Sans CJK SC"/>
        <family val="2"/>
      </rPr>
      <t>ボタンを押す</t>
    </r>
  </si>
  <si>
    <t>スケジュール単位のグループを▼で開閉できる</t>
  </si>
  <si>
    <t>08-01-14</t>
  </si>
  <si>
    <t>スケジュール編集でのコメント入力が画面反映OK</t>
  </si>
  <si>
    <t>コメントパネル/左サイドパネル</t>
  </si>
  <si>
    <r>
      <rPr>
        <sz val="10"/>
        <rFont val="Yu Gothic"/>
        <family val="3"/>
        <charset val="128"/>
      </rPr>
      <t xml:space="preserve">1. </t>
    </r>
    <r>
      <rPr>
        <sz val="10"/>
        <rFont val="Noto Sans CJK SC"/>
        <family val="2"/>
      </rPr>
      <t>スケジュール編集画面でコメントを入力して投稿</t>
    </r>
  </si>
  <si>
    <t>08-01-15</t>
  </si>
  <si>
    <t>コメントパネル　コメント　削除　DB反映OK</t>
  </si>
  <si>
    <r>
      <rPr>
        <sz val="10"/>
        <rFont val="Yu Gothic"/>
        <family val="3"/>
        <charset val="128"/>
      </rPr>
      <t xml:space="preserve">1. </t>
    </r>
    <r>
      <rPr>
        <sz val="10"/>
        <rFont val="Noto Sans CJK SC"/>
        <family val="2"/>
      </rPr>
      <t>コメントパネルでコメントの削除操作</t>
    </r>
  </si>
  <si>
    <r>
      <rPr>
        <sz val="10"/>
        <rFont val="Yu Gothic"/>
        <family val="3"/>
        <charset val="128"/>
      </rPr>
      <t>comments</t>
    </r>
    <r>
      <rPr>
        <sz val="10"/>
        <rFont val="Noto Sans CJK SC"/>
        <family val="2"/>
      </rPr>
      <t>から当該レコードが消える。</t>
    </r>
    <r>
      <rPr>
        <sz val="10"/>
        <rFont val="Yu Gothic"/>
        <family val="3"/>
        <charset val="128"/>
      </rPr>
      <t>changelog</t>
    </r>
    <r>
      <rPr>
        <sz val="10"/>
        <rFont val="Noto Sans CJK SC"/>
        <family val="2"/>
      </rPr>
      <t>には記録されない</t>
    </r>
  </si>
  <si>
    <t>08-01-16</t>
  </si>
  <si>
    <t>コメントパネル　コメント　削除　画面反映OK</t>
  </si>
  <si>
    <t>コメント一覧から消える（確認ダイアログ・成功トースト無し＝仕様）</t>
  </si>
  <si>
    <t>08-01-17</t>
  </si>
  <si>
    <t>スケジュール編集　コメント　削除　DB反映OK</t>
  </si>
  <si>
    <r>
      <rPr>
        <sz val="10"/>
        <rFont val="Yu Gothic"/>
        <family val="3"/>
        <charset val="128"/>
      </rPr>
      <t xml:space="preserve">1. </t>
    </r>
    <r>
      <rPr>
        <sz val="10"/>
        <rFont val="Noto Sans CJK SC"/>
        <family val="2"/>
      </rPr>
      <t>スケジュール編集画面でコメントの削除操作</t>
    </r>
  </si>
  <si>
    <t>08-01-18</t>
  </si>
  <si>
    <t>スケジュール編集　コメント　削除　画面反映OK</t>
  </si>
  <si>
    <t>09-01-01</t>
  </si>
  <si>
    <r>
      <rPr>
        <sz val="10"/>
        <rFont val="Yu Gothic"/>
        <family val="3"/>
        <charset val="128"/>
      </rPr>
      <t xml:space="preserve">09 </t>
    </r>
    <r>
      <rPr>
        <sz val="10"/>
        <rFont val="Noto Sans CJK SC"/>
        <family val="2"/>
      </rPr>
      <t>変更履歴</t>
    </r>
  </si>
  <si>
    <t>すべて　タグ　画面表示　OK</t>
  </si>
  <si>
    <r>
      <rPr>
        <sz val="10"/>
        <rFont val="Yu Gothic"/>
        <family val="3"/>
        <charset val="128"/>
      </rPr>
      <t>add/edit/delete</t>
    </r>
    <r>
      <rPr>
        <sz val="10"/>
        <rFont val="Noto Sans CJK SC"/>
        <family val="2"/>
      </rPr>
      <t>のログが各</t>
    </r>
    <r>
      <rPr>
        <sz val="10"/>
        <rFont val="Yu Gothic"/>
        <family val="3"/>
        <charset val="128"/>
      </rPr>
      <t>1</t>
    </r>
    <r>
      <rPr>
        <sz val="10"/>
        <rFont val="Noto Sans CJK SC"/>
        <family val="2"/>
      </rPr>
      <t>件以上／ヘッダー「変更履歴」ボタンで変更履歴パネルを開いた状態（プロジェクト選択済み）</t>
    </r>
  </si>
  <si>
    <r>
      <rPr>
        <sz val="10"/>
        <rFont val="Yu Gothic"/>
        <family val="3"/>
        <charset val="128"/>
      </rPr>
      <t xml:space="preserve">1. </t>
    </r>
    <r>
      <rPr>
        <sz val="10"/>
        <rFont val="Noto Sans CJK SC"/>
        <family val="2"/>
      </rPr>
      <t>フィルタタブ「すべて」を選択</t>
    </r>
  </si>
  <si>
    <t>すべての種別のログが表示され、フッターに全件数（追加／変更／削除の内訳）が表示され、changelogストアの実件数と一致する</t>
  </si>
  <si>
    <t>09-01-02</t>
  </si>
  <si>
    <t>追加　タグ　画面表示　OK</t>
  </si>
  <si>
    <r>
      <rPr>
        <sz val="10"/>
        <rFont val="Yu Gothic"/>
        <family val="3"/>
        <charset val="128"/>
      </rPr>
      <t xml:space="preserve">1. </t>
    </r>
    <r>
      <rPr>
        <sz val="10"/>
        <rFont val="Noto Sans CJK SC"/>
        <family val="2"/>
      </rPr>
      <t>フィルタタブ「追加」を選択</t>
    </r>
  </si>
  <si>
    <t>追加種別のログのみ表示され、件数内訳がchangelogストアの実件数と一致する</t>
  </si>
  <si>
    <t>09-01-03</t>
  </si>
  <si>
    <t>変更　タグ　画面表示　OK</t>
  </si>
  <si>
    <r>
      <rPr>
        <sz val="10"/>
        <rFont val="Yu Gothic"/>
        <family val="3"/>
        <charset val="128"/>
      </rPr>
      <t xml:space="preserve">1. </t>
    </r>
    <r>
      <rPr>
        <sz val="10"/>
        <rFont val="Noto Sans CJK SC"/>
        <family val="2"/>
      </rPr>
      <t>フィルタタブ「変更」を選択</t>
    </r>
  </si>
  <si>
    <t>変更種別のログのみ表示され、件数内訳がchangelogストアの実件数と一致する</t>
  </si>
  <si>
    <t>09-01-04</t>
  </si>
  <si>
    <t>削除　タグ　画面表示　OK</t>
  </si>
  <si>
    <r>
      <rPr>
        <sz val="10"/>
        <rFont val="Yu Gothic"/>
        <family val="3"/>
        <charset val="128"/>
      </rPr>
      <t xml:space="preserve">1. </t>
    </r>
    <r>
      <rPr>
        <sz val="10"/>
        <rFont val="Noto Sans CJK SC"/>
        <family val="2"/>
      </rPr>
      <t>フィルタタブ「削除」を選択</t>
    </r>
  </si>
  <si>
    <t>削除種別のログのみ表示され、件数内訳がchangelogストアの実件数と一致する</t>
  </si>
  <si>
    <t>09-01-05</t>
  </si>
  <si>
    <t>全削除　DBが0件のとき　エラー画面表示OK</t>
  </si>
  <si>
    <t>変更履歴が0件／ヘッダー「変更履歴」ボタンで変更履歴パネルを開いた状態（プロジェクト選択済み）</t>
  </si>
  <si>
    <t>履歴0件のため削除対象がなく、エラートースト通知「履歴がありません」表示</t>
  </si>
  <si>
    <t>09-01-06</t>
  </si>
  <si>
    <t>全削除　機能画面表示OK</t>
  </si>
  <si>
    <t>変更履歴が1件以上ある／ヘッダー「変更履歴」ボタンで変更履歴パネルを開いた状態（プロジェクト選択済み）</t>
  </si>
  <si>
    <t>一覧が空になる</t>
  </si>
  <si>
    <t>09-01-07</t>
  </si>
  <si>
    <t>全削除　DB反映OK</t>
  </si>
  <si>
    <t>変更履歴パネル/changelogDB</t>
  </si>
  <si>
    <r>
      <rPr>
        <sz val="10"/>
        <rFont val="Yu Gothic"/>
        <family val="3"/>
        <charset val="128"/>
      </rPr>
      <t>changelog</t>
    </r>
    <r>
      <rPr>
        <sz val="10"/>
        <rFont val="Noto Sans CJK SC"/>
        <family val="2"/>
      </rPr>
      <t>ストアが</t>
    </r>
    <r>
      <rPr>
        <sz val="10"/>
        <rFont val="Yu Gothic"/>
        <family val="3"/>
        <charset val="128"/>
      </rPr>
      <t>0</t>
    </r>
    <r>
      <rPr>
        <sz val="10"/>
        <rFont val="Noto Sans CJK SC"/>
        <family val="2"/>
      </rPr>
      <t>件になる</t>
    </r>
  </si>
  <si>
    <t>09-01-08</t>
  </si>
  <si>
    <t>変更タブ　戻す機能　画面反映OK</t>
  </si>
  <si>
    <t>変更ログが存在／ヘッダー「変更履歴」ボタンで変更履歴パネルを開いた状態（プロジェクト選択済み）</t>
  </si>
  <si>
    <r>
      <rPr>
        <sz val="10"/>
        <rFont val="Yu Gothic"/>
        <family val="3"/>
        <charset val="128"/>
      </rPr>
      <t xml:space="preserve">1. </t>
    </r>
    <r>
      <rPr>
        <sz val="10"/>
        <rFont val="Noto Sans CJK SC"/>
        <family val="2"/>
      </rPr>
      <t>変更タブで「戻す」を押す</t>
    </r>
  </si>
  <si>
    <t>変更内容の復元をガントチャート上など（復元した情報のストア名称に応じて）で確認画面確認できる。変更履歴パネルの項目では、戻るボタンが非表示になり、復元済みラベルが表示される。</t>
  </si>
  <si>
    <t>09-01-09</t>
  </si>
  <si>
    <t>変更タブ　戻す機能　DB反映OK</t>
  </si>
  <si>
    <r>
      <rPr>
        <sz val="10"/>
        <rFont val="Yu Gothic"/>
        <family val="3"/>
        <charset val="128"/>
      </rPr>
      <t>changelog</t>
    </r>
    <r>
      <rPr>
        <sz val="10"/>
        <rFont val="Noto Sans CJK SC"/>
        <family val="2"/>
      </rPr>
      <t>にて</t>
    </r>
    <r>
      <rPr>
        <sz val="10"/>
        <rFont val="Yu Gothic"/>
        <family val="3"/>
        <charset val="128"/>
      </rPr>
      <t>DB</t>
    </r>
    <r>
      <rPr>
        <sz val="10"/>
        <rFont val="Noto Sans CJK SC"/>
        <family val="2"/>
      </rPr>
      <t>記録変更される（</t>
    </r>
    <r>
      <rPr>
        <sz val="10"/>
        <rFont val="Yu Gothic"/>
        <family val="3"/>
        <charset val="128"/>
      </rPr>
      <t>restoredAt:</t>
    </r>
    <r>
      <rPr>
        <sz val="10"/>
        <rFont val="Noto Sans CJK SC"/>
        <family val="2"/>
      </rPr>
      <t>が追記される）。復元したストア先のＤＢで記録が更新されている。</t>
    </r>
  </si>
  <si>
    <t>インディクスDB内を確認済み</t>
  </si>
  <si>
    <t>09-01-10</t>
  </si>
  <si>
    <t>削除タブ　戻す機能　画面反映OK</t>
  </si>
  <si>
    <t>削除ログが存在／ヘッダー「変更履歴」ボタンで変更履歴パネルを開いた状態（プロジェクト選択済み）</t>
  </si>
  <si>
    <r>
      <rPr>
        <sz val="10"/>
        <rFont val="Yu Gothic"/>
        <family val="3"/>
        <charset val="128"/>
      </rPr>
      <t xml:space="preserve">1. </t>
    </r>
    <r>
      <rPr>
        <sz val="10"/>
        <rFont val="Noto Sans CJK SC"/>
        <family val="2"/>
      </rPr>
      <t>削除タブで「戻す」を押す</t>
    </r>
  </si>
  <si>
    <t>削除内容の復元をガントチャート上など（復元した情報のストア名称に応じて）で確認画面確認できる。変更履歴パネルの項目では、戻るボタンが非表示になり、復元済みラベルが表示される。</t>
  </si>
  <si>
    <t>09-01-11</t>
  </si>
  <si>
    <t>削除タブ　戻す機能　DB反映OK</t>
  </si>
  <si>
    <t>09-01-12</t>
  </si>
  <si>
    <t>ヘッダー「変更履歴」ボタンで変更履歴パネルを開いた状態（プロジェクト選択済み）</t>
  </si>
  <si>
    <t>変更履歴パネルが閉じる。メイン画面へ</t>
  </si>
  <si>
    <t>他機能とのつながり部分に関しては、連携するプロジェクト管理、スケジュール、タスク、マインドマップそれぞれで記載</t>
  </si>
  <si>
    <t>10-01-01</t>
  </si>
  <si>
    <r>
      <rPr>
        <sz val="10"/>
        <rFont val="Yu Gothic"/>
        <family val="3"/>
        <charset val="128"/>
      </rPr>
      <t xml:space="preserve">10 </t>
    </r>
    <r>
      <rPr>
        <sz val="10"/>
        <rFont val="Noto Sans CJK SC"/>
        <family val="2"/>
      </rPr>
      <t>マインドマップ</t>
    </r>
  </si>
  <si>
    <t>マインドマップ</t>
  </si>
  <si>
    <t>初期親ノード名：プロジェクト名　画面表示OK</t>
  </si>
  <si>
    <t>マインドマップパネル</t>
  </si>
  <si>
    <t>プロジェクト選択済み／ヘッダー「マインドマップ」ボタンでマインドマップパネルを開いた状態</t>
  </si>
  <si>
    <r>
      <rPr>
        <sz val="10"/>
        <rFont val="Yu Gothic"/>
        <family val="3"/>
        <charset val="128"/>
      </rPr>
      <t xml:space="preserve">1. </t>
    </r>
    <r>
      <rPr>
        <sz val="10"/>
        <rFont val="Noto Sans CJK SC"/>
        <family val="2"/>
      </rPr>
      <t>マインドマップを開く</t>
    </r>
  </si>
  <si>
    <t>マインドマップのルート（メインテーマ）に現在のプロジェクト名が表示される</t>
  </si>
  <si>
    <t>10-01-02</t>
  </si>
  <si>
    <t>初期親ノード名：プロジェクト名　DB反映OK</t>
  </si>
  <si>
    <t>マインドマップパネル/issueDB</t>
  </si>
  <si>
    <t>issues</t>
  </si>
  <si>
    <r>
      <rPr>
        <sz val="10"/>
        <rFont val="Yu Gothic"/>
        <family val="3"/>
        <charset val="128"/>
      </rPr>
      <t>issues</t>
    </r>
    <r>
      <rPr>
        <sz val="10"/>
        <rFont val="Noto Sans CJK SC"/>
        <family val="2"/>
      </rPr>
      <t>ストアにルートノードが反映されていること（</t>
    </r>
    <r>
      <rPr>
        <sz val="10"/>
        <rFont val="Yu Gothic"/>
        <family val="3"/>
        <charset val="128"/>
      </rPr>
      <t>Value</t>
    </r>
    <r>
      <rPr>
        <sz val="10"/>
        <rFont val="Noto Sans CJK SC"/>
        <family val="2"/>
      </rPr>
      <t>を展開し</t>
    </r>
    <r>
      <rPr>
        <sz val="10"/>
        <rFont val="Yu Gothic"/>
        <family val="3"/>
        <charset val="128"/>
      </rPr>
      <t>title</t>
    </r>
    <r>
      <rPr>
        <sz val="10"/>
        <rFont val="Noto Sans CJK SC"/>
        <family val="2"/>
      </rPr>
      <t>を確認）</t>
    </r>
  </si>
  <si>
    <t>10-01-03</t>
  </si>
  <si>
    <t>画面フィット機能　画面表示OK</t>
  </si>
  <si>
    <t>マインドマップにノードが複数ある／ヘッダー「マインドマップ」ボタンでマインドマップパネルを開いた状態（プロジェクト選択済み）</t>
  </si>
  <si>
    <r>
      <rPr>
        <sz val="10"/>
        <rFont val="Yu Gothic"/>
        <family val="3"/>
        <charset val="128"/>
      </rPr>
      <t xml:space="preserve">1. </t>
    </r>
    <r>
      <rPr>
        <sz val="10"/>
        <rFont val="Noto Sans CJK SC"/>
        <family val="2"/>
      </rPr>
      <t>画面フィットボタンを押す</t>
    </r>
  </si>
  <si>
    <t>全ノードが表示領域に収まるズーム倍率に調整される</t>
  </si>
  <si>
    <t>10-01-04</t>
  </si>
  <si>
    <t>ノード追加　：最親のノードの子ノードを追加　画面表示OK</t>
  </si>
  <si>
    <r>
      <rPr>
        <sz val="10"/>
        <rFont val="Yu Gothic"/>
        <family val="3"/>
        <charset val="128"/>
      </rPr>
      <t xml:space="preserve">1. </t>
    </r>
    <r>
      <rPr>
        <sz val="10"/>
        <rFont val="Noto Sans CJK SC"/>
        <family val="2"/>
      </rPr>
      <t>最親ノードの子ノードを追加</t>
    </r>
  </si>
  <si>
    <t>追加したノードが画面に表示される</t>
  </si>
  <si>
    <t>10-01-05</t>
  </si>
  <si>
    <t>ノード追加　：最親のノードの子ノードを追加　DB反映OK</t>
  </si>
  <si>
    <t>追加した内容がissuesストアに反映されること（Valueを展開しtitleを確認）</t>
  </si>
  <si>
    <t>10-01-06</t>
  </si>
  <si>
    <t>ノード追加　正常：変更履歴反映OK</t>
  </si>
  <si>
    <t>マインドマップパネル/変更履歴</t>
  </si>
  <si>
    <t>マインドマップにノードが存在／ヘッダー「マインドマップ」ボタンでマインドマップパネルを開いた状態（プロジェクト選択済み）</t>
  </si>
  <si>
    <r>
      <rPr>
        <sz val="10"/>
        <rFont val="Yu Gothic"/>
        <family val="3"/>
        <charset val="128"/>
      </rPr>
      <t xml:space="preserve">1. </t>
    </r>
    <r>
      <rPr>
        <sz val="10"/>
        <rFont val="Noto Sans CJK SC"/>
        <family val="2"/>
      </rPr>
      <t>ノードを追加</t>
    </r>
  </si>
  <si>
    <t>変更履歴パネルにノード追加のエントリが表示される</t>
  </si>
  <si>
    <t>10-01-07</t>
  </si>
  <si>
    <t>名前変更　画面表示OK</t>
  </si>
  <si>
    <r>
      <rPr>
        <sz val="10"/>
        <rFont val="Yu Gothic"/>
        <family val="3"/>
        <charset val="128"/>
      </rPr>
      <t xml:space="preserve">1. </t>
    </r>
    <r>
      <rPr>
        <sz val="10"/>
        <rFont val="Noto Sans CJK SC"/>
        <family val="2"/>
      </rPr>
      <t>ノードのタイトルを変更して確定</t>
    </r>
  </si>
  <si>
    <t>変更後の名前が画面に表示される</t>
  </si>
  <si>
    <t>10-01-08</t>
  </si>
  <si>
    <t>名前変更　DB反映OK</t>
  </si>
  <si>
    <r>
      <rPr>
        <sz val="10"/>
        <rFont val="Yu Gothic"/>
        <family val="3"/>
        <charset val="128"/>
      </rPr>
      <t>issues</t>
    </r>
    <r>
      <rPr>
        <sz val="10"/>
        <rFont val="Noto Sans CJK SC"/>
        <family val="2"/>
      </rPr>
      <t>ストアの当該ノードの</t>
    </r>
    <r>
      <rPr>
        <sz val="10"/>
        <rFont val="Yu Gothic"/>
        <family val="3"/>
        <charset val="128"/>
      </rPr>
      <t>title</t>
    </r>
    <r>
      <rPr>
        <sz val="10"/>
        <rFont val="Noto Sans CJK SC"/>
        <family val="2"/>
      </rPr>
      <t>が更新されていること</t>
    </r>
  </si>
  <si>
    <t>10-01-09</t>
  </si>
  <si>
    <t>名前変更　正常：変更履歴反映OK</t>
  </si>
  <si>
    <t>変更履歴パネルに、ノード変更のエントリ（action:'edit', store:'issues'、changesにtitle差分）が表示される</t>
  </si>
  <si>
    <t>10-01-10</t>
  </si>
  <si>
    <t>子ノード追加　画面表示OK</t>
  </si>
  <si>
    <r>
      <rPr>
        <sz val="10"/>
        <rFont val="Yu Gothic"/>
        <family val="3"/>
        <charset val="128"/>
      </rPr>
      <t xml:space="preserve">1. </t>
    </r>
    <r>
      <rPr>
        <sz val="10"/>
        <rFont val="Noto Sans CJK SC"/>
        <family val="2"/>
      </rPr>
      <t>子ノードを追加</t>
    </r>
  </si>
  <si>
    <t>追加した子ノードが画面に表示される</t>
  </si>
  <si>
    <t>10-01-11</t>
  </si>
  <si>
    <t>子ノード追加　DB反映OK</t>
  </si>
  <si>
    <t>追加した内容がissuesストアに反映されること</t>
  </si>
  <si>
    <t>10-01-12</t>
  </si>
  <si>
    <t>子ノード追加　正常：変更履歴反映OK</t>
  </si>
  <si>
    <t>変更履歴パネルに子ノード追加のエントリが表示される</t>
  </si>
  <si>
    <t>10-01-13</t>
  </si>
  <si>
    <t>兄弟ノード追加　画面表示OK</t>
  </si>
  <si>
    <r>
      <rPr>
        <sz val="10"/>
        <rFont val="Yu Gothic"/>
        <family val="3"/>
        <charset val="128"/>
      </rPr>
      <t xml:space="preserve">1. </t>
    </r>
    <r>
      <rPr>
        <sz val="10"/>
        <rFont val="Noto Sans CJK SC"/>
        <family val="2"/>
      </rPr>
      <t>兄弟ノードを追加</t>
    </r>
  </si>
  <si>
    <t>追加した兄弟ノードが画面に表示される</t>
  </si>
  <si>
    <t>10-01-14</t>
  </si>
  <si>
    <t>兄弟ノード追加　DB反映OK</t>
  </si>
  <si>
    <t>10-01-15</t>
  </si>
  <si>
    <t>兄弟ノード追加　正常：変更履歴反映OK</t>
  </si>
  <si>
    <t>変更履歴パネルに兄弟ノード追加のエントリが表示される</t>
  </si>
  <si>
    <t>10-01-16</t>
  </si>
  <si>
    <t>折り畳み機能　ON　画面表示OK</t>
  </si>
  <si>
    <t>子ノードを持つノードが存在／ヘッダー「マインドマップ」ボタンでマインドマップパネルを開いた状態（プロジェクト選択済み）</t>
  </si>
  <si>
    <r>
      <rPr>
        <sz val="10"/>
        <rFont val="Yu Gothic"/>
        <family val="3"/>
        <charset val="128"/>
      </rPr>
      <t xml:space="preserve">1. </t>
    </r>
    <r>
      <rPr>
        <sz val="10"/>
        <rFont val="Noto Sans CJK SC"/>
        <family val="2"/>
      </rPr>
      <t>折り畳み（</t>
    </r>
    <r>
      <rPr>
        <sz val="10"/>
        <rFont val="Yu Gothic"/>
        <family val="3"/>
        <charset val="128"/>
      </rPr>
      <t>ON</t>
    </r>
    <r>
      <rPr>
        <sz val="10"/>
        <rFont val="Noto Sans CJK SC"/>
        <family val="2"/>
      </rPr>
      <t>）を操作</t>
    </r>
  </si>
  <si>
    <t>配下の子ノードが折り畳まれて非表示になる</t>
  </si>
  <si>
    <t>10-01-17</t>
  </si>
  <si>
    <t>折り畳み機能　OFF　画面表示OK</t>
  </si>
  <si>
    <t>折り畳まれたノードが存在／ヘッダー「マインドマップ」ボタンでマインドマップパネルを開いた状態（プロジェクト選択済み）</t>
  </si>
  <si>
    <r>
      <rPr>
        <sz val="10"/>
        <rFont val="Yu Gothic"/>
        <family val="3"/>
        <charset val="128"/>
      </rPr>
      <t xml:space="preserve">1. </t>
    </r>
    <r>
      <rPr>
        <sz val="10"/>
        <rFont val="Noto Sans CJK SC"/>
        <family val="2"/>
      </rPr>
      <t>折り畳み（</t>
    </r>
    <r>
      <rPr>
        <sz val="10"/>
        <rFont val="Yu Gothic"/>
        <family val="3"/>
        <charset val="128"/>
      </rPr>
      <t>OFF</t>
    </r>
    <r>
      <rPr>
        <sz val="10"/>
        <rFont val="Noto Sans CJK SC"/>
        <family val="2"/>
      </rPr>
      <t>）を操作</t>
    </r>
  </si>
  <si>
    <t>配下の子ノードが展開表示される</t>
  </si>
  <si>
    <t>10-01-18</t>
  </si>
  <si>
    <t>子ノードの削除　画面表示OK</t>
  </si>
  <si>
    <r>
      <rPr>
        <sz val="10"/>
        <rFont val="Yu Gothic"/>
        <family val="3"/>
        <charset val="128"/>
      </rPr>
      <t xml:space="preserve">1. </t>
    </r>
    <r>
      <rPr>
        <sz val="10"/>
        <rFont val="Noto Sans CJK SC"/>
        <family val="2"/>
      </rPr>
      <t>子ノードを削除</t>
    </r>
  </si>
  <si>
    <t>削除したノードが画面から消える</t>
  </si>
  <si>
    <t>10-01-19</t>
  </si>
  <si>
    <t>子ノードの削除　DB反映OK</t>
  </si>
  <si>
    <r>
      <rPr>
        <sz val="10"/>
        <rFont val="Yu Gothic"/>
        <family val="3"/>
        <charset val="128"/>
      </rPr>
      <t>issues</t>
    </r>
    <r>
      <rPr>
        <sz val="10"/>
        <rFont val="Noto Sans CJK SC"/>
        <family val="2"/>
      </rPr>
      <t>ストアから当該ノードが消えること</t>
    </r>
  </si>
  <si>
    <t>10-01-20</t>
  </si>
  <si>
    <t>子ノードの削除　正常：変更履歴反映OK</t>
  </si>
  <si>
    <t>変更履歴パネルに、ノード削除のエントリ（action:'delete', store:'issues'）が表示される</t>
  </si>
  <si>
    <t>10-01-21</t>
  </si>
  <si>
    <t>親ノードの削除　子ノードが親含め3件以下の時　画面表示OK</t>
  </si>
  <si>
    <r>
      <rPr>
        <sz val="10"/>
        <rFont val="Yu Gothic"/>
        <family val="3"/>
        <charset val="128"/>
      </rPr>
      <t xml:space="preserve">1. </t>
    </r>
    <r>
      <rPr>
        <sz val="10"/>
        <rFont val="Noto Sans CJK SC"/>
        <family val="2"/>
      </rPr>
      <t>親ノードを削除</t>
    </r>
  </si>
  <si>
    <t>削除した親ノードが画面から消える（配下も連鎖して消える）</t>
  </si>
  <si>
    <t>10-01-22</t>
  </si>
  <si>
    <t>親ノードの削除　子ノードが親含め４件以上の時　画面表示OK</t>
  </si>
  <si>
    <t>10-01-23</t>
  </si>
  <si>
    <t>親ノードの削除による連鎖削除DB反映OK</t>
  </si>
  <si>
    <r>
      <rPr>
        <sz val="10"/>
        <rFont val="Yu Gothic"/>
        <family val="3"/>
        <charset val="128"/>
      </rPr>
      <t>issues</t>
    </r>
    <r>
      <rPr>
        <sz val="10"/>
        <rFont val="Noto Sans CJK SC"/>
        <family val="2"/>
      </rPr>
      <t>ストアから親ノードと配下ノードが連鎖して消えること（削除ノード分が</t>
    </r>
    <r>
      <rPr>
        <sz val="10"/>
        <rFont val="Yu Gothic"/>
        <family val="3"/>
        <charset val="128"/>
      </rPr>
      <t>delete</t>
    </r>
    <r>
      <rPr>
        <sz val="10"/>
        <rFont val="Noto Sans CJK SC"/>
        <family val="2"/>
      </rPr>
      <t>）</t>
    </r>
  </si>
  <si>
    <t>※その他　UIのみ反映
キーボード操作は機能実装ができていない。</t>
  </si>
  <si>
    <t>10-01-24</t>
  </si>
  <si>
    <t>親ノードの削除　正常：変更履歴反映OK</t>
  </si>
  <si>
    <t>変更履歴パネルに、削除ノード分のエントリ（action:'delete', store:'issues'）が表示される</t>
  </si>
  <si>
    <t>10-01-25</t>
  </si>
  <si>
    <t>ヘッダー「マインドマップ」ボタンでマインドマップパネルを開いた状態（プロジェクト選択済み）</t>
  </si>
  <si>
    <t>マインドマップパネルが閉じる</t>
  </si>
  <si>
    <t>11-01-01</t>
  </si>
  <si>
    <r>
      <rPr>
        <sz val="10"/>
        <rFont val="Yu Gothic"/>
        <family val="3"/>
        <charset val="128"/>
      </rPr>
      <t xml:space="preserve">11 </t>
    </r>
    <r>
      <rPr>
        <sz val="10"/>
        <rFont val="Noto Sans CJK SC"/>
        <family val="2"/>
      </rPr>
      <t>タスク管理</t>
    </r>
  </si>
  <si>
    <t>タスク管理</t>
  </si>
  <si>
    <t>タスクの追加　タスク名未入力</t>
  </si>
  <si>
    <t>タスク管理パネル</t>
  </si>
  <si>
    <t>ヘッダー「タスク管理」ボタンでタスク管理パネルを開いた状態（プロジェクト選択済み）</t>
  </si>
  <si>
    <r>
      <rPr>
        <sz val="10"/>
        <rFont val="Yu Gothic"/>
        <family val="3"/>
        <charset val="128"/>
      </rPr>
      <t xml:space="preserve">1. </t>
    </r>
    <r>
      <rPr>
        <sz val="10"/>
        <rFont val="Noto Sans CJK SC"/>
        <family val="2"/>
      </rPr>
      <t>タスク名を未入力のまま追加</t>
    </r>
  </si>
  <si>
    <t>タスク名未入力では追加できない
アラート「タスク名を入力してください」表示</t>
  </si>
  <si>
    <t>11-01-02</t>
  </si>
  <si>
    <t>タスクの追加　×ボタン　追加する場所の非表示</t>
  </si>
  <si>
    <t>タスク追加フォームを開いた状態／ヘッダー「タスク管理」ボタンでタスク管理パネルを開いた状態（プロジェクト選択済み）</t>
  </si>
  <si>
    <r>
      <rPr>
        <sz val="10"/>
        <rFont val="Yu Gothic"/>
        <family val="3"/>
        <charset val="128"/>
      </rPr>
      <t xml:space="preserve">1. </t>
    </r>
    <r>
      <rPr>
        <sz val="10"/>
        <rFont val="Noto Sans CJK SC"/>
        <family val="2"/>
      </rPr>
      <t>追加フォームの</t>
    </r>
    <r>
      <rPr>
        <sz val="10"/>
        <rFont val="Yu Gothic"/>
        <family val="3"/>
        <charset val="128"/>
      </rPr>
      <t>×</t>
    </r>
    <r>
      <rPr>
        <sz val="10"/>
        <rFont val="Noto Sans CJK SC"/>
        <family val="2"/>
      </rPr>
      <t>ボタンを押す</t>
    </r>
  </si>
  <si>
    <t>追加フォーム（入力欄）が閉じて非表示になる</t>
  </si>
  <si>
    <t>11-01-03</t>
  </si>
  <si>
    <t>タスクの追加　画面表示OK</t>
  </si>
  <si>
    <t>プロジェクト選択済み／ヘッダー「タスク管理」ボタンでタスク管理パネルを開いた状態</t>
  </si>
  <si>
    <r>
      <rPr>
        <sz val="10"/>
        <rFont val="Yu Gothic"/>
        <family val="3"/>
        <charset val="128"/>
      </rPr>
      <t xml:space="preserve">1. </t>
    </r>
    <r>
      <rPr>
        <sz val="10"/>
        <rFont val="Noto Sans CJK SC"/>
        <family val="2"/>
      </rPr>
      <t>タスクを追加</t>
    </r>
  </si>
  <si>
    <t>タスク管理に反映され、ガントには出ない</t>
  </si>
  <si>
    <t>11-01-04</t>
  </si>
  <si>
    <t>タスクの追加　DB表示OK</t>
  </si>
  <si>
    <t>タスク管理パネル/tasksDB</t>
  </si>
  <si>
    <t>tasks</t>
  </si>
  <si>
    <t>追加した内容がtasksストアに反映され、schedulesストアには一切現れないこと</t>
  </si>
  <si>
    <t>11-01-05</t>
  </si>
  <si>
    <t>タスクの追加　正常：　変更履歴反映OK</t>
  </si>
  <si>
    <t>タスク管理パネル/変更履歴</t>
  </si>
  <si>
    <t>変更履歴パネルにタスク追加のエントリが表示される</t>
  </si>
  <si>
    <t>11-01-06</t>
  </si>
  <si>
    <t>タスクのドラック　未着手、進行中、完了を移動できる　画面表示OK</t>
  </si>
  <si>
    <r>
      <rPr>
        <sz val="10"/>
        <rFont val="Yu Gothic"/>
        <family val="3"/>
        <charset val="128"/>
      </rPr>
      <t xml:space="preserve">1. </t>
    </r>
    <r>
      <rPr>
        <sz val="10"/>
        <rFont val="Noto Sans CJK SC"/>
        <family val="2"/>
      </rPr>
      <t>タスクをドラッグして未着手／進行中／完了を移動</t>
    </r>
  </si>
  <si>
    <t>ステータス変更がタスク管理に反映され、ガントには出ない</t>
  </si>
  <si>
    <t>11-01-07</t>
  </si>
  <si>
    <t>タスクのドラック　未着手、進行中、完了を移動できる　DB反映OK</t>
  </si>
  <si>
    <t>変更した内容がtasksストアに反映され、schedulesストアには現れないこと</t>
  </si>
  <si>
    <t>11-01-08</t>
  </si>
  <si>
    <t>タスクのドラック　未着手、進行中、完了を移動できる　変更履歴反映OK</t>
  </si>
  <si>
    <t>タスクが存在／ヘッダー「タスク管理」ボタンでタスク管理パネルを開いた状態（プロジェクト選択済み）</t>
  </si>
  <si>
    <r>
      <rPr>
        <sz val="10"/>
        <rFont val="Yu Gothic"/>
        <family val="3"/>
        <charset val="128"/>
      </rPr>
      <t xml:space="preserve">1. </t>
    </r>
    <r>
      <rPr>
        <sz val="10"/>
        <rFont val="Noto Sans CJK SC"/>
        <family val="2"/>
      </rPr>
      <t>タスクをドラッグしてステータスを移動</t>
    </r>
  </si>
  <si>
    <t>変更履歴パネルにステータス変更のエントリが表示される</t>
  </si>
  <si>
    <t>←未実装でした。期待結果は変更しない方向の方がUX的に推奨。</t>
  </si>
  <si>
    <t>11-01-09</t>
  </si>
  <si>
    <t>タスク編集　タスク名の未入力</t>
  </si>
  <si>
    <r>
      <rPr>
        <sz val="10"/>
        <rFont val="Yu Gothic"/>
        <family val="3"/>
        <charset val="128"/>
      </rPr>
      <t xml:space="preserve">1. </t>
    </r>
    <r>
      <rPr>
        <sz val="10"/>
        <rFont val="Noto Sans CJK SC"/>
        <family val="2"/>
      </rPr>
      <t>タスク編集でタスク名を未入力にして保存</t>
    </r>
  </si>
  <si>
    <t>タスク名未入力では保存できない
アラート「タスク名を入力してください」表示</t>
  </si>
  <si>
    <t>11-01-10</t>
  </si>
  <si>
    <t>タスク編集　保存　画面表示OK</t>
  </si>
  <si>
    <r>
      <rPr>
        <sz val="10"/>
        <rFont val="Yu Gothic"/>
        <family val="3"/>
        <charset val="128"/>
      </rPr>
      <t xml:space="preserve">1. </t>
    </r>
    <r>
      <rPr>
        <sz val="10"/>
        <rFont val="Noto Sans CJK SC"/>
        <family val="2"/>
      </rPr>
      <t>タスクを編集して保存</t>
    </r>
  </si>
  <si>
    <t>編集内容がタスク管理に反映され、ガントには出ない</t>
  </si>
  <si>
    <t>11-01-11</t>
  </si>
  <si>
    <t>タスク編集　保存　DB反映OK</t>
  </si>
  <si>
    <t>編集した内容がtasksストアに反映されること</t>
  </si>
  <si>
    <t>11-01-12</t>
  </si>
  <si>
    <t>タスク編集　正常：　変更履歴反映OK</t>
  </si>
  <si>
    <t>プロジェクト選択済み。タスク1件が存在／ヘッダー「タスク管理」ボタンでタスク管理パネルを開いた状態</t>
  </si>
  <si>
    <r>
      <rPr>
        <sz val="10"/>
        <rFont val="Yu Gothic"/>
        <family val="3"/>
        <charset val="128"/>
      </rPr>
      <t xml:space="preserve">1. </t>
    </r>
    <r>
      <rPr>
        <sz val="10"/>
        <rFont val="Noto Sans CJK SC"/>
        <family val="2"/>
      </rPr>
      <t>タスクの優先度</t>
    </r>
    <r>
      <rPr>
        <sz val="10"/>
        <rFont val="Yu Gothic"/>
        <family val="3"/>
        <charset val="128"/>
      </rPr>
      <t>or</t>
    </r>
    <r>
      <rPr>
        <sz val="10"/>
        <rFont val="Noto Sans CJK SC"/>
        <family val="2"/>
      </rPr>
      <t>期日を変更して保存</t>
    </r>
  </si>
  <si>
    <t>変更履歴パネルに、タスク変更のエントリ（action:'edit', store:'tasks'、changesに変更フィールド）が表示される</t>
  </si>
  <si>
    <t>11-01-13</t>
  </si>
  <si>
    <t>完了済みを一括削除　DBが0件の時</t>
  </si>
  <si>
    <t>完了タスクが0件／ヘッダー「タスク管理」ボタンでタスク管理パネルを開いた状態（プロジェクト選択済み）</t>
  </si>
  <si>
    <r>
      <rPr>
        <sz val="10"/>
        <rFont val="Yu Gothic"/>
        <family val="3"/>
        <charset val="128"/>
      </rPr>
      <t xml:space="preserve">1. </t>
    </r>
    <r>
      <rPr>
        <sz val="10"/>
        <rFont val="Noto Sans CJK SC"/>
        <family val="2"/>
      </rPr>
      <t>「完了済みを一括削除」ボタンを押す</t>
    </r>
  </si>
  <si>
    <t>削除対象が無く、「完了タスクがありません」トースト通知表示</t>
  </si>
  <si>
    <t>11-01-14</t>
  </si>
  <si>
    <t>完了済みを一括削除　画面表示OK</t>
  </si>
  <si>
    <t>完了タスクが1件以上ある／ヘッダー「タスク管理」ボタンでタスク管理パネルを開いた状態（プロジェクト選択済み）</t>
  </si>
  <si>
    <t>完了列の完了済みタスクがまとめて消える</t>
  </si>
  <si>
    <t>11-01-15</t>
  </si>
  <si>
    <t>完了済みを一括削除　DB反映OK</t>
  </si>
  <si>
    <r>
      <rPr>
        <sz val="10"/>
        <rFont val="Yu Gothic"/>
        <family val="3"/>
        <charset val="128"/>
      </rPr>
      <t>tasks</t>
    </r>
    <r>
      <rPr>
        <sz val="10"/>
        <rFont val="Noto Sans CJK SC"/>
        <family val="2"/>
      </rPr>
      <t>ストアから完了済みタスクが消える</t>
    </r>
  </si>
  <si>
    <t>11-01-16</t>
  </si>
  <si>
    <t>完了済みを一括削除　変更履歴反映OK</t>
  </si>
  <si>
    <t>一括削除が変更履歴に反映される</t>
  </si>
  <si>
    <t>11-01-17</t>
  </si>
  <si>
    <t>タスク管理パネルが閉じる</t>
  </si>
  <si>
    <t>12-01-01</t>
  </si>
  <si>
    <r>
      <rPr>
        <sz val="10"/>
        <rFont val="Yu Gothic"/>
        <family val="3"/>
        <charset val="128"/>
      </rPr>
      <t xml:space="preserve">12 </t>
    </r>
    <r>
      <rPr>
        <sz val="10"/>
        <rFont val="Noto Sans CJK SC"/>
        <family val="2"/>
      </rPr>
      <t>共通右サイドパネル操作</t>
    </r>
  </si>
  <si>
    <t>側面パネル幅のドラッグ変更</t>
  </si>
  <si>
    <t>ハンドルドラッグで幅変更・上下限クランプ</t>
  </si>
  <si>
    <t>スライドパネル（タスク管理／マインドマップ等）</t>
  </si>
  <si>
    <t>側面スライドパネル（タスク管理／マインドマップ等）を開いた状態（プロジェクト選択済み）</t>
  </si>
  <si>
    <r>
      <rPr>
        <sz val="10"/>
        <rFont val="Yu Gothic"/>
        <family val="3"/>
        <charset val="128"/>
      </rPr>
      <t xml:space="preserve">1. </t>
    </r>
    <r>
      <rPr>
        <sz val="10"/>
        <rFont val="Noto Sans CJK SC"/>
        <family val="2"/>
      </rPr>
      <t>パネル左端のリサイズハンドルをドラッグして幅を変える</t>
    </r>
  </si>
  <si>
    <t>ドラッグに追従してパネル幅が変わり、最小幅設定と最大幅設定がある。</t>
  </si>
  <si>
    <t>13-01-01</t>
  </si>
  <si>
    <r>
      <rPr>
        <sz val="10"/>
        <rFont val="Yu Gothic"/>
        <family val="3"/>
        <charset val="128"/>
      </rPr>
      <t>13 WBS</t>
    </r>
    <r>
      <rPr>
        <sz val="10"/>
        <rFont val="Noto Sans CJK SC"/>
        <family val="2"/>
      </rPr>
      <t>パネル操作</t>
    </r>
  </si>
  <si>
    <t>親子関係のラベル表記</t>
  </si>
  <si>
    <t>１．１．１この振り分けの表示確認</t>
  </si>
  <si>
    <t>左サイドパネルスケジュール項目</t>
  </si>
  <si>
    <t>親子構造のスケジュールが存在／WBSパネル表示中（プロジェクト選択済み）</t>
  </si>
  <si>
    <r>
      <rPr>
        <sz val="10"/>
        <rFont val="Yu Gothic"/>
        <family val="3"/>
        <charset val="128"/>
      </rPr>
      <t>1. WBS</t>
    </r>
    <r>
      <rPr>
        <sz val="10"/>
        <rFont val="Noto Sans CJK SC"/>
        <family val="2"/>
      </rPr>
      <t>の各行の階層ラベルを確認</t>
    </r>
  </si>
  <si>
    <t>各行に階層番号（1／1.1／1.1.1 …）が表示され、親子の振り分けが確認できる</t>
  </si>
  <si>
    <t>13-02-01</t>
  </si>
  <si>
    <r>
      <rPr>
        <sz val="10"/>
        <rFont val="Yu Gothic"/>
        <family val="3"/>
        <charset val="128"/>
      </rPr>
      <t>±</t>
    </r>
    <r>
      <rPr>
        <sz val="10"/>
        <rFont val="Noto Sans CJK SC"/>
        <family val="2"/>
      </rPr>
      <t>ボタン（開閉）</t>
    </r>
  </si>
  <si>
    <t>その親タスクに付随する子タスクが全て閉じる・開く　表示確認</t>
  </si>
  <si>
    <t>子スケジュールを持つ親が存在／WBSパネル表示中（プロジェクト選択済み）</t>
  </si>
  <si>
    <r>
      <rPr>
        <sz val="10"/>
        <rFont val="Yu Gothic"/>
        <family val="3"/>
        <charset val="128"/>
      </rPr>
      <t xml:space="preserve">1. </t>
    </r>
    <r>
      <rPr>
        <sz val="10"/>
        <rFont val="Noto Sans CJK SC"/>
        <family val="2"/>
      </rPr>
      <t>親行の</t>
    </r>
    <r>
      <rPr>
        <sz val="10"/>
        <rFont val="Yu Gothic"/>
        <family val="3"/>
        <charset val="128"/>
      </rPr>
      <t>±</t>
    </r>
    <r>
      <rPr>
        <sz val="10"/>
        <rFont val="Noto Sans CJK SC"/>
        <family val="2"/>
      </rPr>
      <t>ボタンを押す</t>
    </r>
  </si>
  <si>
    <t>その親に付随する子スケジュールが全て閉じる／開く</t>
  </si>
  <si>
    <t>13-03-01</t>
  </si>
  <si>
    <t>並び順の変更↑↓</t>
  </si>
  <si>
    <t>最上位のスケジュール↑非表示・無効　表示確認</t>
  </si>
  <si>
    <t>スケジュールが複数存在／WBSパネル表示中（プロジェクト選択済み）</t>
  </si>
  <si>
    <r>
      <rPr>
        <sz val="10"/>
        <rFont val="Yu Gothic"/>
        <family val="3"/>
        <charset val="128"/>
      </rPr>
      <t xml:space="preserve">1. </t>
    </r>
    <r>
      <rPr>
        <sz val="10"/>
        <rFont val="Noto Sans CJK SC"/>
        <family val="2"/>
      </rPr>
      <t>最上位（先頭）スケジュールの↑ボタンを確認</t>
    </r>
  </si>
  <si>
    <t>先頭スケジュールの↑ボタンが無効（disabled）表示になる</t>
  </si>
  <si>
    <t>13-03-02</t>
  </si>
  <si>
    <t>最下位のスケジュール↓非表示・無効　表示確認</t>
  </si>
  <si>
    <r>
      <rPr>
        <sz val="10"/>
        <rFont val="Yu Gothic"/>
        <family val="3"/>
        <charset val="128"/>
      </rPr>
      <t xml:space="preserve">1. </t>
    </r>
    <r>
      <rPr>
        <sz val="10"/>
        <rFont val="Noto Sans CJK SC"/>
        <family val="2"/>
      </rPr>
      <t>最下位（末尾）スケジュールの↓ボタンを確認</t>
    </r>
  </si>
  <si>
    <t>末尾スケジュールの↓ボタンが無効（disabled）表示になる</t>
  </si>
  <si>
    <t>13-03-03</t>
  </si>
  <si>
    <t>上記以外のスケジュール項目の並び順変更　表示確認OK</t>
  </si>
  <si>
    <t>左サイドパネルスケジュール項目/ガントチャート</t>
  </si>
  <si>
    <t>並び替え可能なスケジュールが複数存在／WBSパネル表示中（プロジェクト選択済み）</t>
  </si>
  <si>
    <r>
      <rPr>
        <sz val="10"/>
        <rFont val="Yu Gothic"/>
        <family val="3"/>
        <charset val="128"/>
      </rPr>
      <t xml:space="preserve">1. </t>
    </r>
    <r>
      <rPr>
        <sz val="10"/>
        <rFont val="Noto Sans CJK SC"/>
        <family val="2"/>
      </rPr>
      <t>対象の↑／↓ボタンを押す</t>
    </r>
  </si>
  <si>
    <t>対象スケジュールの並び順が入れ替わる</t>
  </si>
  <si>
    <t>13-04-01</t>
  </si>
  <si>
    <t>子スケジュール追加</t>
  </si>
  <si>
    <t>子スケジュール追加 画面表示OK</t>
  </si>
  <si>
    <r>
      <rPr>
        <sz val="10"/>
        <rFont val="Yu Gothic"/>
        <family val="3"/>
        <charset val="128"/>
      </rPr>
      <t>WBS</t>
    </r>
    <r>
      <rPr>
        <sz val="10"/>
        <rFont val="Noto Sans CJK SC"/>
        <family val="2"/>
      </rPr>
      <t>パネル／ガントチャート</t>
    </r>
  </si>
  <si>
    <t>プロジェクト選択済み。親スケジュールが1件以上ある／WBSパネルの対象親行「＋」ボタンで子作成モーダルを開いた状態</t>
  </si>
  <si>
    <r>
      <rPr>
        <sz val="10"/>
        <rFont val="Yu Gothic"/>
        <family val="3"/>
        <charset val="128"/>
      </rPr>
      <t xml:space="preserve">1. </t>
    </r>
    <r>
      <rPr>
        <sz val="10"/>
        <rFont val="Noto Sans CJK SC"/>
        <family val="2"/>
      </rPr>
      <t>名前・日付を入力して保存</t>
    </r>
  </si>
  <si>
    <r>
      <rPr>
        <sz val="10"/>
        <rFont val="Yu Gothic"/>
        <family val="3"/>
        <charset val="128"/>
      </rPr>
      <t>WBS</t>
    </r>
    <r>
      <rPr>
        <sz val="10"/>
        <rFont val="Noto Sans CJK SC"/>
        <family val="2"/>
      </rPr>
      <t>に子スケジュールが</t>
    </r>
    <r>
      <rPr>
        <sz val="10"/>
        <rFont val="Yu Gothic"/>
        <family val="3"/>
        <charset val="128"/>
      </rPr>
      <t>1</t>
    </r>
    <r>
      <rPr>
        <sz val="10"/>
        <rFont val="Noto Sans CJK SC"/>
        <family val="2"/>
      </rPr>
      <t>段インデントで表示され、ガントにバーが表示される</t>
    </r>
  </si>
  <si>
    <t>13-04-02</t>
  </si>
  <si>
    <t>子スケジュール追加 DB反映OK（parentId・order）</t>
  </si>
  <si>
    <r>
      <rPr>
        <sz val="10"/>
        <rFont val="Yu Gothic"/>
        <family val="3"/>
        <charset val="128"/>
      </rPr>
      <t xml:space="preserve">1. </t>
    </r>
    <r>
      <rPr>
        <sz val="10"/>
        <rFont val="Noto Sans CJK SC"/>
        <family val="2"/>
      </rPr>
      <t>対象親行の「＋」から子を作成して保存</t>
    </r>
  </si>
  <si>
    <r>
      <rPr>
        <sz val="10"/>
        <rFont val="Yu Gothic"/>
        <family val="3"/>
        <charset val="128"/>
      </rPr>
      <t>schedules</t>
    </r>
    <r>
      <rPr>
        <sz val="10"/>
        <rFont val="Noto Sans CJK SC"/>
        <family val="2"/>
      </rPr>
      <t>に子レコードが</t>
    </r>
    <r>
      <rPr>
        <sz val="10"/>
        <rFont val="Yu Gothic"/>
        <family val="3"/>
        <charset val="128"/>
      </rPr>
      <t>1</t>
    </r>
    <r>
      <rPr>
        <sz val="10"/>
        <rFont val="Noto Sans CJK SC"/>
        <family val="2"/>
      </rPr>
      <t>件増え、</t>
    </r>
    <r>
      <rPr>
        <sz val="10"/>
        <rFont val="Yu Gothic"/>
        <family val="3"/>
        <charset val="128"/>
      </rPr>
      <t>parentId</t>
    </r>
    <r>
      <rPr>
        <sz val="10"/>
        <rFont val="Noto Sans CJK SC"/>
        <family val="2"/>
      </rPr>
      <t>が親の</t>
    </r>
    <r>
      <rPr>
        <sz val="10"/>
        <rFont val="Yu Gothic"/>
        <family val="3"/>
        <charset val="128"/>
      </rPr>
      <t>id</t>
    </r>
    <r>
      <rPr>
        <sz val="10"/>
        <rFont val="Noto Sans CJK SC"/>
        <family val="2"/>
      </rPr>
      <t>に、</t>
    </r>
    <r>
      <rPr>
        <sz val="10"/>
        <rFont val="Yu Gothic"/>
        <family val="3"/>
        <charset val="128"/>
      </rPr>
      <t>order</t>
    </r>
    <r>
      <rPr>
        <sz val="10"/>
        <rFont val="Noto Sans CJK SC"/>
        <family val="2"/>
      </rPr>
      <t>が親配下の末尾に設定される</t>
    </r>
  </si>
  <si>
    <t>13-04-03</t>
  </si>
  <si>
    <t>子スケジュール追加 変更履歴反映OK</t>
  </si>
  <si>
    <t>変更履歴パネルに子スケジュール追加のエントリ（action:'add', store:'schedules'）が表示される</t>
  </si>
  <si>
    <t>13-04-04</t>
  </si>
  <si>
    <t>孫行では＋（子追加）ボタンが無効表示</t>
  </si>
  <si>
    <r>
      <rPr>
        <sz val="10"/>
        <rFont val="Yu Gothic"/>
        <family val="3"/>
        <charset val="128"/>
      </rPr>
      <t>WBS</t>
    </r>
    <r>
      <rPr>
        <sz val="10"/>
        <rFont val="Noto Sans CJK SC"/>
        <family val="2"/>
      </rPr>
      <t>パネル各行</t>
    </r>
  </si>
  <si>
    <t>親→子→孫の3階層が存在（孫が末端）／WBSパネル表示中（プロジェクト選択済み）</t>
  </si>
  <si>
    <r>
      <rPr>
        <sz val="10"/>
        <rFont val="Yu Gothic"/>
        <family val="3"/>
        <charset val="128"/>
      </rPr>
      <t xml:space="preserve">1. </t>
    </r>
    <r>
      <rPr>
        <sz val="10"/>
        <rFont val="Noto Sans CJK SC"/>
        <family val="2"/>
      </rPr>
      <t>孫行（</t>
    </r>
    <r>
      <rPr>
        <sz val="10"/>
        <rFont val="Yu Gothic"/>
        <family val="3"/>
        <charset val="128"/>
      </rPr>
      <t>depthLevel=2</t>
    </r>
    <r>
      <rPr>
        <sz val="10"/>
        <rFont val="Noto Sans CJK SC"/>
        <family val="2"/>
      </rPr>
      <t>）の操作アイコンを確認</t>
    </r>
  </si>
  <si>
    <t>孫行の「＋」（子スケジュール追加）ボタンが無効状態表示になる。</t>
  </si>
  <si>
    <t>13-05-01</t>
  </si>
  <si>
    <t>スケジュール編集（鉛筆/項目クリック）</t>
  </si>
  <si>
    <t>スケジュール編集機能　画面表示OK</t>
  </si>
  <si>
    <t>スケジュール編集モーダル</t>
  </si>
  <si>
    <t>スケジュールが1件以上存在／WBSパネル表示中。対象行の鉛筆✎で編集モーダルを開いた状態（プロジェクト選択済み）</t>
  </si>
  <si>
    <r>
      <rPr>
        <sz val="10"/>
        <rFont val="Yu Gothic"/>
        <family val="3"/>
        <charset val="128"/>
      </rPr>
      <t>1. WBS</t>
    </r>
    <r>
      <rPr>
        <sz val="10"/>
        <rFont val="Noto Sans CJK SC"/>
        <family val="2"/>
      </rPr>
      <t>の鉛筆または項目クリックでスケジュール編集を開く</t>
    </r>
  </si>
  <si>
    <t>スケジュール編集モーダルが表示される</t>
  </si>
  <si>
    <t>13-05-02</t>
  </si>
  <si>
    <r>
      <rPr>
        <sz val="10"/>
        <rFont val="Yu Gothic"/>
        <family val="3"/>
        <charset val="128"/>
      </rPr>
      <t xml:space="preserve">1. </t>
    </r>
    <r>
      <rPr>
        <sz val="10"/>
        <rFont val="Noto Sans CJK SC"/>
        <family val="2"/>
      </rPr>
      <t>スケジュール名を未入力にして保存</t>
    </r>
  </si>
  <si>
    <t>アラート「スケジュールを入力してください」が表示され保存できない</t>
  </si>
  <si>
    <t>13-05-03</t>
  </si>
  <si>
    <t>スケジュール編集中／WBSパネル表示中。対象行の鉛筆✎で編集モーダルを開いた状態（プロジェクト選択済み）</t>
  </si>
  <si>
    <t>13-05-04</t>
  </si>
  <si>
    <t>期間上限のバリデーションは無く保存される（プロジェクト最終日超過では拒否されない）</t>
  </si>
  <si>
    <t>13-05-05</t>
  </si>
  <si>
    <t>左サイドパネルスケジュール項目/スケジュールDB</t>
  </si>
  <si>
    <r>
      <rPr>
        <sz val="10"/>
        <rFont val="Yu Gothic"/>
        <family val="3"/>
        <charset val="128"/>
      </rPr>
      <t>schedules</t>
    </r>
    <r>
      <rPr>
        <sz val="10"/>
        <rFont val="Noto Sans CJK SC"/>
        <family val="2"/>
      </rPr>
      <t>の当該レコードの</t>
    </r>
    <r>
      <rPr>
        <sz val="10"/>
        <rFont val="Yu Gothic"/>
        <family val="3"/>
        <charset val="128"/>
      </rPr>
      <t>name/endDate</t>
    </r>
    <r>
      <rPr>
        <sz val="10"/>
        <rFont val="Noto Sans CJK SC"/>
        <family val="2"/>
      </rPr>
      <t>等が更新されていること</t>
    </r>
  </si>
  <si>
    <t>13-05-06</t>
  </si>
  <si>
    <t>変更がガントに反映される</t>
  </si>
  <si>
    <t>13-05-07</t>
  </si>
  <si>
    <t>13-05-08</t>
  </si>
  <si>
    <t>正常：変更履歴反映OK（コメント以外）全部反映</t>
  </si>
  <si>
    <t>左サイドパネルスケジュール項目/変更履歴</t>
  </si>
  <si>
    <t>変更履歴パネルに、スケジュール変更のエントリ（action:'edit', store:'schedules'、changesに変更フィールド）が1件表示される</t>
  </si>
  <si>
    <t>13-06-01</t>
  </si>
  <si>
    <t>スケジュール削除</t>
  </si>
  <si>
    <t>親子関係なし：削除　画面表示OK</t>
  </si>
  <si>
    <t>親子関係のないスケジュールが存在／WBSパネル表示中（プロジェクト選択済み）</t>
  </si>
  <si>
    <r>
      <rPr>
        <sz val="10"/>
        <rFont val="Yu Gothic"/>
        <family val="3"/>
        <charset val="128"/>
      </rPr>
      <t xml:space="preserve">1. </t>
    </r>
    <r>
      <rPr>
        <sz val="10"/>
        <rFont val="Noto Sans CJK SC"/>
        <family val="2"/>
      </rPr>
      <t xml:space="preserve">対象スケジュールの削除ボタン
</t>
    </r>
    <r>
      <rPr>
        <sz val="10"/>
        <rFont val="Yu Gothic"/>
        <family val="3"/>
        <charset val="128"/>
      </rPr>
      <t xml:space="preserve">2. </t>
    </r>
    <r>
      <rPr>
        <sz val="10"/>
        <rFont val="Noto Sans CJK SC"/>
        <family val="2"/>
      </rPr>
      <t>確認ダイアログで</t>
    </r>
    <r>
      <rPr>
        <sz val="10"/>
        <rFont val="Yu Gothic"/>
        <family val="3"/>
        <charset val="128"/>
      </rPr>
      <t>OK</t>
    </r>
  </si>
  <si>
    <t>対象バーが消え、削除トーストが表示される</t>
  </si>
  <si>
    <t>13-06-02</t>
  </si>
  <si>
    <t>親子関係なし：削除　DB反映OK</t>
  </si>
  <si>
    <t>スケジュールDB</t>
  </si>
  <si>
    <r>
      <rPr>
        <sz val="10"/>
        <rFont val="Yu Gothic"/>
        <family val="3"/>
        <charset val="128"/>
      </rPr>
      <t>schedules</t>
    </r>
    <r>
      <rPr>
        <sz val="10"/>
        <rFont val="Noto Sans CJK SC"/>
        <family val="2"/>
      </rPr>
      <t>ストアから当該レコードが消えること</t>
    </r>
  </si>
  <si>
    <t>13-06-03</t>
  </si>
  <si>
    <t>親子関係なし：削除　変更履歴反映OK</t>
  </si>
  <si>
    <t>変更履歴パネルに、削除ログ（action:'delete', store:'schedules'）が表示される</t>
  </si>
  <si>
    <t>13-06-04</t>
  </si>
  <si>
    <t>親子関係あり：削除　画面表示OK</t>
  </si>
  <si>
    <t>親・子・孫（コメント付き）の階層が存在／WBSパネル表示中（プロジェクト選択済み）</t>
  </si>
  <si>
    <r>
      <rPr>
        <sz val="10"/>
        <rFont val="Yu Gothic"/>
        <family val="3"/>
        <charset val="128"/>
      </rPr>
      <t xml:space="preserve">1. </t>
    </r>
    <r>
      <rPr>
        <sz val="10"/>
        <rFont val="Noto Sans CJK SC"/>
        <family val="2"/>
      </rPr>
      <t xml:space="preserve">親スケジュールの削除ボタン
</t>
    </r>
    <r>
      <rPr>
        <sz val="10"/>
        <rFont val="Yu Gothic"/>
        <family val="3"/>
        <charset val="128"/>
      </rPr>
      <t xml:space="preserve">2. </t>
    </r>
    <r>
      <rPr>
        <sz val="10"/>
        <rFont val="Noto Sans CJK SC"/>
        <family val="2"/>
      </rPr>
      <t>確認ダイアログで</t>
    </r>
    <r>
      <rPr>
        <sz val="10"/>
        <rFont val="Yu Gothic"/>
        <family val="3"/>
        <charset val="128"/>
      </rPr>
      <t>OK</t>
    </r>
  </si>
  <si>
    <t>親子孫のバーが消え、削除トーストが表示される</t>
  </si>
  <si>
    <t>13-06-05</t>
  </si>
  <si>
    <t>親子関係あり：削除　DB反映OK</t>
  </si>
  <si>
    <r>
      <rPr>
        <sz val="10"/>
        <rFont val="Yu Gothic"/>
        <family val="3"/>
        <charset val="128"/>
      </rPr>
      <t>schedules</t>
    </r>
    <r>
      <rPr>
        <sz val="10"/>
        <rFont val="Noto Sans CJK SC"/>
        <family val="2"/>
      </rPr>
      <t>ストアに親・子・孫のレコードが</t>
    </r>
    <r>
      <rPr>
        <sz val="10"/>
        <rFont val="Yu Gothic"/>
        <family val="3"/>
        <charset val="128"/>
      </rPr>
      <t>0</t>
    </r>
    <r>
      <rPr>
        <sz val="10"/>
        <rFont val="Noto Sans CJK SC"/>
        <family val="2"/>
      </rPr>
      <t>件。</t>
    </r>
    <r>
      <rPr>
        <sz val="10"/>
        <rFont val="Yu Gothic"/>
        <family val="3"/>
        <charset val="128"/>
      </rPr>
      <t>comments</t>
    </r>
    <r>
      <rPr>
        <sz val="10"/>
        <rFont val="Noto Sans CJK SC"/>
        <family val="2"/>
      </rPr>
      <t>ストア（</t>
    </r>
    <r>
      <rPr>
        <sz val="10"/>
        <rFont val="Yu Gothic"/>
        <family val="3"/>
        <charset val="128"/>
      </rPr>
      <t>by_taskId</t>
    </r>
    <r>
      <rPr>
        <sz val="10"/>
        <rFont val="Noto Sans CJK SC"/>
        <family val="2"/>
      </rPr>
      <t>）に紐づくコメントが残っていないこと</t>
    </r>
  </si>
  <si>
    <t>13-06-06</t>
  </si>
  <si>
    <t>親子関係あり：削除　変更履歴反映OK</t>
  </si>
  <si>
    <t>変更履歴パネルに、対象件数分の削除ログ（action:'delete', store:'schedules'）が表示される。各削除ログに「戻す」ボタンがあること</t>
  </si>
  <si>
    <t>13-07-01</t>
  </si>
  <si>
    <t>親子付け替え（掴んで移動）</t>
  </si>
  <si>
    <t>対象の子になる　画面表示</t>
  </si>
  <si>
    <t>親A（子2以上）と別の親B等が存在し、移動後も3階層以内／WBSパネル表示中（プロジェクト選択済み）</t>
  </si>
  <si>
    <r>
      <rPr>
        <sz val="10"/>
        <rFont val="Yu Gothic"/>
        <family val="3"/>
        <charset val="128"/>
      </rPr>
      <t xml:space="preserve">1. </t>
    </r>
    <r>
      <rPr>
        <sz val="10"/>
        <rFont val="Noto Sans CJK SC"/>
        <family val="2"/>
      </rPr>
      <t>事前に</t>
    </r>
    <r>
      <rPr>
        <sz val="10"/>
        <rFont val="Yu Gothic"/>
        <family val="3"/>
        <charset val="128"/>
      </rPr>
      <t>changelog</t>
    </r>
    <r>
      <rPr>
        <sz val="10"/>
        <rFont val="Noto Sans CJK SC"/>
        <family val="2"/>
      </rPr>
      <t xml:space="preserve">の件数を控える
</t>
    </r>
    <r>
      <rPr>
        <sz val="10"/>
        <rFont val="Yu Gothic"/>
        <family val="3"/>
        <charset val="128"/>
      </rPr>
      <t>2. WBS</t>
    </r>
    <r>
      <rPr>
        <sz val="10"/>
        <rFont val="Noto Sans CJK SC"/>
        <family val="2"/>
      </rPr>
      <t xml:space="preserve">で対象行の掴み手（⋮⋮）をつかむ
</t>
    </r>
    <r>
      <rPr>
        <sz val="10"/>
        <rFont val="Yu Gothic"/>
        <family val="3"/>
        <charset val="128"/>
      </rPr>
      <t xml:space="preserve">3. </t>
    </r>
    <r>
      <rPr>
        <sz val="10"/>
        <rFont val="Noto Sans CJK SC"/>
        <family val="2"/>
      </rPr>
      <t>相手行の中央（上下端</t>
    </r>
    <r>
      <rPr>
        <sz val="10"/>
        <rFont val="Yu Gothic"/>
        <family val="3"/>
        <charset val="128"/>
      </rPr>
      <t>25%</t>
    </r>
    <r>
      <rPr>
        <sz val="10"/>
        <rFont val="Noto Sans CJK SC"/>
        <family val="2"/>
      </rPr>
      <t>を避けた中央</t>
    </r>
    <r>
      <rPr>
        <sz val="10"/>
        <rFont val="Yu Gothic"/>
        <family val="3"/>
        <charset val="128"/>
      </rPr>
      <t>50%</t>
    </r>
    <r>
      <rPr>
        <sz val="10"/>
        <rFont val="Noto Sans CJK SC"/>
        <family val="2"/>
      </rPr>
      <t xml:space="preserve">）に合わせる
</t>
    </r>
    <r>
      <rPr>
        <sz val="10"/>
        <rFont val="Yu Gothic"/>
        <family val="3"/>
        <charset val="128"/>
      </rPr>
      <t xml:space="preserve">4. </t>
    </r>
    <r>
      <rPr>
        <sz val="10"/>
        <rFont val="Noto Sans CJK SC"/>
        <family val="2"/>
      </rPr>
      <t>ドロップ</t>
    </r>
  </si>
  <si>
    <t>移動したスケジュールがBの子として表示（インデントが1段増える）。旧親A・新親Bのバーが両方とも子集合に合わせて再計算・再描画される</t>
  </si>
  <si>
    <t>13-07-02</t>
  </si>
  <si>
    <t>対象の子になる　DB反映</t>
  </si>
  <si>
    <r>
      <rPr>
        <sz val="10"/>
        <rFont val="Yu Gothic"/>
        <family val="3"/>
        <charset val="128"/>
      </rPr>
      <t>schedules</t>
    </r>
    <r>
      <rPr>
        <sz val="10"/>
        <rFont val="Noto Sans CJK SC"/>
        <family val="2"/>
      </rPr>
      <t>で移動したスケジュールの</t>
    </r>
    <r>
      <rPr>
        <sz val="10"/>
        <rFont val="Yu Gothic"/>
        <family val="3"/>
        <charset val="128"/>
      </rPr>
      <t>parentId</t>
    </r>
    <r>
      <rPr>
        <sz val="10"/>
        <rFont val="Noto Sans CJK SC"/>
        <family val="2"/>
      </rPr>
      <t>が</t>
    </r>
    <r>
      <rPr>
        <sz val="10"/>
        <rFont val="Yu Gothic"/>
        <family val="3"/>
        <charset val="128"/>
      </rPr>
      <t>B</t>
    </r>
    <r>
      <rPr>
        <sz val="10"/>
        <rFont val="Noto Sans CJK SC"/>
        <family val="2"/>
      </rPr>
      <t>の</t>
    </r>
    <r>
      <rPr>
        <sz val="10"/>
        <rFont val="Yu Gothic"/>
        <family val="3"/>
        <charset val="128"/>
      </rPr>
      <t>id</t>
    </r>
    <r>
      <rPr>
        <sz val="10"/>
        <rFont val="Noto Sans CJK SC"/>
        <family val="2"/>
      </rPr>
      <t>に、</t>
    </r>
    <r>
      <rPr>
        <sz val="10"/>
        <rFont val="Yu Gothic"/>
        <family val="3"/>
        <charset val="128"/>
      </rPr>
      <t>order</t>
    </r>
    <r>
      <rPr>
        <sz val="10"/>
        <rFont val="Noto Sans CJK SC"/>
        <family val="2"/>
      </rPr>
      <t>が</t>
    </r>
    <r>
      <rPr>
        <sz val="10"/>
        <rFont val="Yu Gothic"/>
        <family val="3"/>
        <charset val="128"/>
      </rPr>
      <t>B</t>
    </r>
    <r>
      <rPr>
        <sz val="10"/>
        <rFont val="Noto Sans CJK SC"/>
        <family val="2"/>
      </rPr>
      <t>の子の末尾に更新。旧親</t>
    </r>
    <r>
      <rPr>
        <sz val="10"/>
        <rFont val="Yu Gothic"/>
        <family val="3"/>
        <charset val="128"/>
      </rPr>
      <t>A</t>
    </r>
    <r>
      <rPr>
        <sz val="10"/>
        <rFont val="Noto Sans CJK SC"/>
        <family val="2"/>
      </rPr>
      <t>・新親</t>
    </r>
    <r>
      <rPr>
        <sz val="10"/>
        <rFont val="Yu Gothic"/>
        <family val="3"/>
        <charset val="128"/>
      </rPr>
      <t>B</t>
    </r>
    <r>
      <rPr>
        <sz val="10"/>
        <rFont val="Noto Sans CJK SC"/>
        <family val="2"/>
      </rPr>
      <t>の</t>
    </r>
    <r>
      <rPr>
        <sz val="10"/>
        <rFont val="Yu Gothic"/>
        <family val="3"/>
        <charset val="128"/>
      </rPr>
      <t>start/end</t>
    </r>
    <r>
      <rPr>
        <sz val="10"/>
        <rFont val="Noto Sans CJK SC"/>
        <family val="2"/>
      </rPr>
      <t>が再計算される（</t>
    </r>
    <r>
      <rPr>
        <sz val="10"/>
        <rFont val="Yu Gothic"/>
        <family val="3"/>
        <charset val="128"/>
      </rPr>
      <t>syncAncestorDates</t>
    </r>
    <r>
      <rPr>
        <sz val="10"/>
        <rFont val="Noto Sans CJK SC"/>
        <family val="2"/>
      </rPr>
      <t>は祖先まで反映）</t>
    </r>
  </si>
  <si>
    <t>13-07-03</t>
  </si>
  <si>
    <t>対象の子になる　変更履歴反映</t>
  </si>
  <si>
    <t>変更履歴パネルに、移動したスケジュールの「並び順：旧order→新order」が1件記録される。旧親A・新親B（祖先）の日付が変わった場合はその変更ログも表示される</t>
  </si>
  <si>
    <t>13-07-04</t>
  </si>
  <si>
    <t>対象と兄弟関係になる　画面表示</t>
  </si>
  <si>
    <t>兄弟が複数ある群と、別の親を持つ行が存在／WBSパネル表示中（プロジェクト選択済み）</t>
  </si>
  <si>
    <r>
      <rPr>
        <sz val="10"/>
        <rFont val="Yu Gothic"/>
        <family val="3"/>
        <charset val="128"/>
      </rPr>
      <t xml:space="preserve">1. </t>
    </r>
    <r>
      <rPr>
        <sz val="10"/>
        <rFont val="Noto Sans CJK SC"/>
        <family val="2"/>
      </rPr>
      <t>事前に</t>
    </r>
    <r>
      <rPr>
        <sz val="10"/>
        <rFont val="Yu Gothic"/>
        <family val="3"/>
        <charset val="128"/>
      </rPr>
      <t>changelog</t>
    </r>
    <r>
      <rPr>
        <sz val="10"/>
        <rFont val="Noto Sans CJK SC"/>
        <family val="2"/>
      </rPr>
      <t xml:space="preserve">の件数を控える
</t>
    </r>
    <r>
      <rPr>
        <sz val="10"/>
        <rFont val="Yu Gothic"/>
        <family val="3"/>
        <charset val="128"/>
      </rPr>
      <t>2. WBS</t>
    </r>
    <r>
      <rPr>
        <sz val="10"/>
        <rFont val="Noto Sans CJK SC"/>
        <family val="2"/>
      </rPr>
      <t xml:space="preserve">で対象行の掴み手（⋮⋮）をつかむ
</t>
    </r>
    <r>
      <rPr>
        <sz val="10"/>
        <rFont val="Yu Gothic"/>
        <family val="3"/>
        <charset val="128"/>
      </rPr>
      <t xml:space="preserve">3. </t>
    </r>
    <r>
      <rPr>
        <sz val="10"/>
        <rFont val="Noto Sans CJK SC"/>
        <family val="2"/>
      </rPr>
      <t>相手行の上端付近</t>
    </r>
    <r>
      <rPr>
        <sz val="10"/>
        <rFont val="Yu Gothic"/>
        <family val="3"/>
        <charset val="128"/>
      </rPr>
      <t>(before)</t>
    </r>
    <r>
      <rPr>
        <sz val="10"/>
        <rFont val="Noto Sans CJK SC"/>
        <family val="2"/>
      </rPr>
      <t>または下端付近</t>
    </r>
    <r>
      <rPr>
        <sz val="10"/>
        <rFont val="Yu Gothic"/>
        <family val="3"/>
        <charset val="128"/>
      </rPr>
      <t>(after)</t>
    </r>
    <r>
      <rPr>
        <sz val="10"/>
        <rFont val="Noto Sans CJK SC"/>
        <family val="2"/>
      </rPr>
      <t xml:space="preserve">に合わせる
</t>
    </r>
    <r>
      <rPr>
        <sz val="10"/>
        <rFont val="Yu Gothic"/>
        <family val="3"/>
        <charset val="128"/>
      </rPr>
      <t xml:space="preserve">4. </t>
    </r>
    <r>
      <rPr>
        <sz val="10"/>
        <rFont val="Noto Sans CJK SC"/>
        <family val="2"/>
      </rPr>
      <t>ドロップ</t>
    </r>
  </si>
  <si>
    <t>対象が相手と同じ親の兄弟になり、所属/インデントが変わる（親をまたぐ移動を含む）</t>
  </si>
  <si>
    <t>13-07-05</t>
  </si>
  <si>
    <t>対象と兄弟関係になる　DB反映</t>
  </si>
  <si>
    <r>
      <rPr>
        <sz val="10"/>
        <rFont val="Yu Gothic"/>
        <family val="3"/>
        <charset val="128"/>
      </rPr>
      <t>schedules</t>
    </r>
    <r>
      <rPr>
        <sz val="10"/>
        <rFont val="Noto Sans CJK SC"/>
        <family val="2"/>
      </rPr>
      <t>で対象の</t>
    </r>
    <r>
      <rPr>
        <sz val="10"/>
        <rFont val="Yu Gothic"/>
        <family val="3"/>
        <charset val="128"/>
      </rPr>
      <t>order</t>
    </r>
    <r>
      <rPr>
        <sz val="10"/>
        <rFont val="Noto Sans CJK SC"/>
        <family val="2"/>
      </rPr>
      <t>が挿入位置に更新（兄弟の</t>
    </r>
    <r>
      <rPr>
        <sz val="10"/>
        <rFont val="Yu Gothic"/>
        <family val="3"/>
        <charset val="128"/>
      </rPr>
      <t>order</t>
    </r>
    <r>
      <rPr>
        <sz val="10"/>
        <rFont val="Noto Sans CJK SC"/>
        <family val="2"/>
      </rPr>
      <t>を</t>
    </r>
    <r>
      <rPr>
        <sz val="10"/>
        <rFont val="Yu Gothic"/>
        <family val="3"/>
        <charset val="128"/>
      </rPr>
      <t>0</t>
    </r>
    <r>
      <rPr>
        <sz val="10"/>
        <rFont val="Noto Sans CJK SC"/>
        <family val="2"/>
      </rPr>
      <t>から振り直し）。親をまたいだ場合は</t>
    </r>
    <r>
      <rPr>
        <sz val="10"/>
        <rFont val="Yu Gothic"/>
        <family val="3"/>
        <charset val="128"/>
      </rPr>
      <t>parentId</t>
    </r>
    <r>
      <rPr>
        <sz val="10"/>
        <rFont val="Noto Sans CJK SC"/>
        <family val="2"/>
      </rPr>
      <t>も変わり、旧親・新親の</t>
    </r>
    <r>
      <rPr>
        <sz val="10"/>
        <rFont val="Yu Gothic"/>
        <family val="3"/>
        <charset val="128"/>
      </rPr>
      <t>start/end</t>
    </r>
    <r>
      <rPr>
        <sz val="10"/>
        <rFont val="Noto Sans CJK SC"/>
        <family val="2"/>
      </rPr>
      <t>が再計算される</t>
    </r>
  </si>
  <si>
    <t>13-07-06</t>
  </si>
  <si>
    <t>対象と兄弟関係になる　変更履歴反映</t>
  </si>
  <si>
    <t>変更履歴パネルに、対象1件の「並び順：旧→新」が記録される（order値が同じでも必ず1件）</t>
  </si>
  <si>
    <t>13-07-07</t>
  </si>
  <si>
    <t>ドラッグで3階層超の付け替えが拒否（アラート）</t>
  </si>
  <si>
    <t>（アラート）</t>
  </si>
  <si>
    <t>移動すると4階層目になる構成が存在／WBSパネル表示中（プロジェクト選択済み）</t>
  </si>
  <si>
    <r>
      <rPr>
        <sz val="10"/>
        <rFont val="Yu Gothic"/>
        <family val="3"/>
        <charset val="128"/>
      </rPr>
      <t>1. WBS</t>
    </r>
    <r>
      <rPr>
        <sz val="10"/>
        <rFont val="Noto Sans CJK SC"/>
        <family val="2"/>
      </rPr>
      <t>で、子化すると</t>
    </r>
    <r>
      <rPr>
        <sz val="10"/>
        <rFont val="Yu Gothic"/>
        <family val="3"/>
        <charset val="128"/>
      </rPr>
      <t>3</t>
    </r>
    <r>
      <rPr>
        <sz val="10"/>
        <rFont val="Noto Sans CJK SC"/>
        <family val="2"/>
      </rPr>
      <t>階層を超える相手行の中央にドラッグ＆ドロップ</t>
    </r>
  </si>
  <si>
    <t>アラート「これ以上深い階層のスケジュールは作成できません（親→子→孫の3階層まで）。」が表示され、reparent/moveは実行されずDBは無変更</t>
  </si>
  <si>
    <t>13-08-01</t>
  </si>
  <si>
    <t>進捗バー</t>
  </si>
  <si>
    <t>末端の子スケジュールのステータスの変動が進捗バーに画面反映されるか？</t>
  </si>
  <si>
    <t>プロジェクト選択済み。親子なしの末端スケジュールを2件追加できる状態／WBSパネル表示中</t>
  </si>
  <si>
    <r>
      <rPr>
        <sz val="10"/>
        <rFont val="Yu Gothic"/>
        <family val="3"/>
        <charset val="128"/>
      </rPr>
      <t xml:space="preserve">1. </t>
    </r>
    <r>
      <rPr>
        <sz val="10"/>
        <rFont val="Noto Sans CJK SC"/>
        <family val="2"/>
      </rPr>
      <t>末端スケジュール</t>
    </r>
    <r>
      <rPr>
        <sz val="10"/>
        <rFont val="Yu Gothic"/>
        <family val="3"/>
        <charset val="128"/>
      </rPr>
      <t>2</t>
    </r>
    <r>
      <rPr>
        <sz val="10"/>
        <rFont val="Noto Sans CJK SC"/>
        <family val="2"/>
      </rPr>
      <t xml:space="preserve">件を追加（両方未着手）
</t>
    </r>
    <r>
      <rPr>
        <sz val="10"/>
        <rFont val="Yu Gothic"/>
        <family val="3"/>
        <charset val="128"/>
      </rPr>
      <t xml:space="preserve">2. </t>
    </r>
    <r>
      <rPr>
        <sz val="10"/>
        <rFont val="Noto Sans CJK SC"/>
        <family val="2"/>
      </rPr>
      <t>ステータスを順次変更（完了／進行中／両方完了）</t>
    </r>
  </si>
  <si>
    <t>進捗バーのfill幅とラベル「進捗：N%」が各段階で 0%→50%→75%→100% と一致する（未着手0/進行中50/完了100の単純平均）</t>
  </si>
  <si>
    <t>13-08-02</t>
  </si>
  <si>
    <t>子スケジュールを持つ親のステータスを変動が、進捗バーの画面表示に影響しない。</t>
  </si>
  <si>
    <t>親1・末端子2の階層（親のtaskStatusは既定=未着手）／WBSパネル表示中（プロジェクト選択済み）</t>
  </si>
  <si>
    <r>
      <rPr>
        <sz val="10"/>
        <rFont val="Yu Gothic"/>
        <family val="3"/>
        <charset val="128"/>
      </rPr>
      <t xml:space="preserve">1. </t>
    </r>
    <r>
      <rPr>
        <sz val="10"/>
        <rFont val="Noto Sans CJK SC"/>
        <family val="2"/>
      </rPr>
      <t>末端子</t>
    </r>
    <r>
      <rPr>
        <sz val="10"/>
        <rFont val="Yu Gothic"/>
        <family val="3"/>
        <charset val="128"/>
      </rPr>
      <t>2</t>
    </r>
    <r>
      <rPr>
        <sz val="10"/>
        <rFont val="Noto Sans CJK SC"/>
        <family val="2"/>
      </rPr>
      <t xml:space="preserve">件を両方「完了」にする
</t>
    </r>
    <r>
      <rPr>
        <sz val="10"/>
        <rFont val="Yu Gothic"/>
        <family val="3"/>
        <charset val="128"/>
      </rPr>
      <t xml:space="preserve">2. </t>
    </r>
    <r>
      <rPr>
        <sz val="10"/>
        <rFont val="Noto Sans CJK SC"/>
        <family val="2"/>
      </rPr>
      <t>進捗バーの％を確認</t>
    </r>
  </si>
  <si>
    <t>進捗バー＝100%（末端2件の平均のみ）。親を分母に含めた67%にならないこと（親＝グループ行は集計に含まれない）</t>
  </si>
  <si>
    <t>13-09-01</t>
  </si>
  <si>
    <r>
      <rPr>
        <sz val="10"/>
        <rFont val="Yu Gothic"/>
        <family val="3"/>
        <charset val="128"/>
      </rPr>
      <t>WBS⇄</t>
    </r>
    <r>
      <rPr>
        <sz val="10"/>
        <rFont val="Noto Sans CJK SC"/>
        <family val="2"/>
      </rPr>
      <t>ガント縦スクロール同期</t>
    </r>
  </si>
  <si>
    <r>
      <rPr>
        <sz val="10"/>
        <rFont val="Yu Gothic"/>
        <family val="3"/>
        <charset val="128"/>
      </rPr>
      <t>WBS</t>
    </r>
    <r>
      <rPr>
        <sz val="10"/>
        <rFont val="Noto Sans CJK SC"/>
        <family val="2"/>
      </rPr>
      <t>側スクロールでガント本体が追従</t>
    </r>
  </si>
  <si>
    <r>
      <rPr>
        <sz val="10"/>
        <rFont val="Yu Gothic"/>
        <family val="3"/>
        <charset val="128"/>
      </rPr>
      <t>WBS</t>
    </r>
    <r>
      <rPr>
        <sz val="10"/>
        <rFont val="Noto Sans CJK SC"/>
        <family val="2"/>
      </rPr>
      <t>パネル／ガント本体</t>
    </r>
  </si>
  <si>
    <t>行数がパネル高さを超えるスケジュールが存在／WBSパネル表示中（プロジェクト選択済み）</t>
  </si>
  <si>
    <r>
      <rPr>
        <sz val="10"/>
        <rFont val="Yu Gothic"/>
        <family val="3"/>
        <charset val="128"/>
      </rPr>
      <t>1. WBS</t>
    </r>
    <r>
      <rPr>
        <sz val="10"/>
        <rFont val="Noto Sans CJK SC"/>
        <family val="2"/>
      </rPr>
      <t>パネルを縦スクロールする</t>
    </r>
  </si>
  <si>
    <t>ガント本体が同じ縦位置まで追従スクロールする（行ズレなし）</t>
  </si>
  <si>
    <t>13-09-02</t>
  </si>
  <si>
    <t>ガント本体スクロールでWBSが追従</t>
  </si>
  <si>
    <r>
      <rPr>
        <sz val="10"/>
        <rFont val="Yu Gothic"/>
        <family val="3"/>
        <charset val="128"/>
      </rPr>
      <t xml:space="preserve">1. </t>
    </r>
    <r>
      <rPr>
        <sz val="10"/>
        <rFont val="Noto Sans CJK SC"/>
        <family val="2"/>
      </rPr>
      <t>ガント本体を縦スクロールする</t>
    </r>
  </si>
  <si>
    <r>
      <rPr>
        <sz val="10"/>
        <rFont val="Yu Gothic"/>
        <family val="3"/>
        <charset val="128"/>
      </rPr>
      <t>WBS</t>
    </r>
    <r>
      <rPr>
        <sz val="10"/>
        <rFont val="Noto Sans CJK SC"/>
        <family val="2"/>
      </rPr>
      <t>パネルが同じ縦位置まで追従スクロールする（行ズレなし。</t>
    </r>
    <r>
      <rPr>
        <sz val="10"/>
        <rFont val="Yu Gothic"/>
        <family val="3"/>
        <charset val="128"/>
      </rPr>
      <t>isSyncingVerticalScroll</t>
    </r>
    <r>
      <rPr>
        <sz val="10"/>
        <rFont val="Noto Sans CJK SC"/>
        <family val="2"/>
      </rPr>
      <t>で無限ループ防止）</t>
    </r>
  </si>
  <si>
    <t>14-01-01</t>
  </si>
  <si>
    <r>
      <rPr>
        <sz val="10"/>
        <rFont val="Yu Gothic"/>
        <family val="3"/>
        <charset val="128"/>
      </rPr>
      <t xml:space="preserve">14 </t>
    </r>
    <r>
      <rPr>
        <sz val="10"/>
        <rFont val="Noto Sans CJK SC"/>
        <family val="2"/>
      </rPr>
      <t>タイムライン操作</t>
    </r>
  </si>
  <si>
    <t>スケジュールバー</t>
  </si>
  <si>
    <t>バーを左クリックすると詳細が画面表示される</t>
  </si>
  <si>
    <t>スケジュールバーが表示されている／ガント本体表示中（プロジェクト選択済み）</t>
  </si>
  <si>
    <r>
      <rPr>
        <sz val="10"/>
        <rFont val="Yu Gothic"/>
        <family val="3"/>
        <charset val="128"/>
      </rPr>
      <t xml:space="preserve">1. </t>
    </r>
    <r>
      <rPr>
        <sz val="10"/>
        <rFont val="Noto Sans CJK SC"/>
        <family val="2"/>
      </rPr>
      <t>バーを左クリックする</t>
    </r>
  </si>
  <si>
    <t>詳細ポップアップが表示される</t>
  </si>
  <si>
    <t>14-01-02</t>
  </si>
  <si>
    <t>スケジュールバー/コメント</t>
  </si>
  <si>
    <t>詳細からコメントを入力投稿できる。画面表示OK</t>
  </si>
  <si>
    <t>スケジュール1件／ガント本体表示中。バーを左クリックして詳細ポップアップを開いた状態（プロジェクト選択済み）</t>
  </si>
  <si>
    <r>
      <rPr>
        <sz val="10"/>
        <rFont val="Yu Gothic"/>
        <family val="3"/>
        <charset val="128"/>
      </rPr>
      <t xml:space="preserve">1. </t>
    </r>
    <r>
      <rPr>
        <sz val="10"/>
        <rFont val="Noto Sans CJK SC"/>
        <family val="2"/>
      </rPr>
      <t>バーの詳細（ポップアップ）でコメント本文を入力して投稿</t>
    </r>
  </si>
  <si>
    <t>コメント入力・投稿ができる（画面に反映）</t>
  </si>
  <si>
    <t>14-01-03</t>
  </si>
  <si>
    <t>詳細から投稿したコメントがコメントパネルに反映される。</t>
  </si>
  <si>
    <t>ガントチャート/コメントパネル</t>
  </si>
  <si>
    <r>
      <rPr>
        <sz val="10"/>
        <rFont val="Yu Gothic"/>
        <family val="3"/>
        <charset val="128"/>
      </rPr>
      <t xml:space="preserve">1. </t>
    </r>
    <r>
      <rPr>
        <sz val="10"/>
        <rFont val="Noto Sans CJK SC"/>
        <family val="2"/>
      </rPr>
      <t>バーの詳細からコメントを投稿</t>
    </r>
  </si>
  <si>
    <t>投稿したコメントがコメントパネルに反映される</t>
  </si>
  <si>
    <t>14-01-04</t>
  </si>
  <si>
    <t>詳細から投稿したコメントがコメントDBに反映される。</t>
  </si>
  <si>
    <t>ガントチャート/コメントDB</t>
  </si>
  <si>
    <r>
      <rPr>
        <sz val="10"/>
        <rFont val="Yu Gothic"/>
        <family val="3"/>
        <charset val="128"/>
      </rPr>
      <t>comments</t>
    </r>
    <r>
      <rPr>
        <sz val="10"/>
        <rFont val="Noto Sans CJK SC"/>
        <family val="2"/>
      </rPr>
      <t>ストア（</t>
    </r>
    <r>
      <rPr>
        <sz val="10"/>
        <rFont val="Yu Gothic"/>
        <family val="3"/>
        <charset val="128"/>
      </rPr>
      <t>by_taskId</t>
    </r>
    <r>
      <rPr>
        <sz val="10"/>
        <rFont val="Noto Sans CJK SC"/>
        <family val="2"/>
      </rPr>
      <t>）に</t>
    </r>
    <r>
      <rPr>
        <sz val="10"/>
        <rFont val="Yu Gothic"/>
        <family val="3"/>
        <charset val="128"/>
      </rPr>
      <t>text/taskId</t>
    </r>
    <r>
      <rPr>
        <sz val="10"/>
        <rFont val="Noto Sans CJK SC"/>
        <family val="2"/>
      </rPr>
      <t>を持つレコードが</t>
    </r>
    <r>
      <rPr>
        <sz val="10"/>
        <rFont val="Yu Gothic"/>
        <family val="3"/>
        <charset val="128"/>
      </rPr>
      <t>1</t>
    </r>
    <r>
      <rPr>
        <sz val="10"/>
        <rFont val="Noto Sans CJK SC"/>
        <family val="2"/>
      </rPr>
      <t>件増える。</t>
    </r>
    <r>
      <rPr>
        <sz val="10"/>
        <rFont val="Yu Gothic"/>
        <family val="3"/>
        <charset val="128"/>
      </rPr>
      <t>changelog</t>
    </r>
    <r>
      <rPr>
        <sz val="10"/>
        <rFont val="Noto Sans CJK SC"/>
        <family val="2"/>
      </rPr>
      <t>には記録されない</t>
    </r>
  </si>
  <si>
    <t>14-01-05</t>
  </si>
  <si>
    <t>詳細からコメントを削除できる。画面表示OK</t>
  </si>
  <si>
    <t>コメント1件以上／ガント本体表示中。バーを左クリックして詳細ポップアップを開いた状態（プロジェクト選択済み）</t>
  </si>
  <si>
    <r>
      <rPr>
        <sz val="10"/>
        <rFont val="Yu Gothic"/>
        <family val="3"/>
        <charset val="128"/>
      </rPr>
      <t xml:space="preserve">1. </t>
    </r>
    <r>
      <rPr>
        <sz val="10"/>
        <rFont val="Noto Sans CJK SC"/>
        <family val="2"/>
      </rPr>
      <t>バーの詳細でコメントの削除操作</t>
    </r>
  </si>
  <si>
    <t>コメントを削除できる（画面に反映）</t>
  </si>
  <si>
    <t>14-01-06</t>
  </si>
  <si>
    <t>詳細から削除したコメントがコメントパネルに反映される。</t>
  </si>
  <si>
    <r>
      <rPr>
        <sz val="10"/>
        <rFont val="Yu Gothic"/>
        <family val="3"/>
        <charset val="128"/>
      </rPr>
      <t xml:space="preserve">1. </t>
    </r>
    <r>
      <rPr>
        <sz val="10"/>
        <rFont val="Noto Sans CJK SC"/>
        <family val="2"/>
      </rPr>
      <t>バーの詳細でコメントを削除</t>
    </r>
  </si>
  <si>
    <t>削除したコメントがコメントパネルに反映される（一覧から消える）</t>
  </si>
  <si>
    <t>14-01-07</t>
  </si>
  <si>
    <t>詳細から削除したコメントがコメントDBに反映される。</t>
  </si>
  <si>
    <t>14-01-08</t>
  </si>
  <si>
    <t>ステータスを変更すると詳細の進捗バーに反映される。</t>
  </si>
  <si>
    <t>ガント本体表示中。バーを左クリックして詳細ポップアップを開いた状態（プロジェクト選択済み）</t>
  </si>
  <si>
    <r>
      <rPr>
        <sz val="10"/>
        <rFont val="Yu Gothic"/>
        <family val="3"/>
        <charset val="128"/>
      </rPr>
      <t xml:space="preserve">1. </t>
    </r>
    <r>
      <rPr>
        <sz val="10"/>
        <rFont val="Noto Sans CJK SC"/>
        <family val="2"/>
      </rPr>
      <t>ステータスを変更する</t>
    </r>
  </si>
  <si>
    <t>詳細ポップアップ内の進捗バーに変更が反映される</t>
  </si>
  <si>
    <t>14-01-09</t>
  </si>
  <si>
    <t>子スケジュールの両端をホバーすると⇔にマウスが変化する。</t>
  </si>
  <si>
    <t>末端の子スケジュールバーが表示されている／ガント本体表示中（プロジェクト選択済み）</t>
  </si>
  <si>
    <r>
      <rPr>
        <sz val="10"/>
        <rFont val="Yu Gothic"/>
        <family val="3"/>
        <charset val="128"/>
      </rPr>
      <t xml:space="preserve">1. </t>
    </r>
    <r>
      <rPr>
        <sz val="10"/>
        <rFont val="Noto Sans CJK SC"/>
        <family val="2"/>
      </rPr>
      <t>子バーの両端にマウスをホバーする</t>
    </r>
  </si>
  <si>
    <t>カーソルが⇔（リサイズ）に変化する</t>
  </si>
  <si>
    <t>14-01-10</t>
  </si>
  <si>
    <t>スケジュールバー/期間増減変更</t>
  </si>
  <si>
    <t>マウスが⇔の状態でスケジュール期間の増減変更ができる。画面表示OK</t>
  </si>
  <si>
    <t>親1・子2の階層。子バーをドラッグできる状態／ガント本体表示中（プロジェクト選択済み）</t>
  </si>
  <si>
    <r>
      <rPr>
        <sz val="10"/>
        <rFont val="Yu Gothic"/>
        <family val="3"/>
        <charset val="128"/>
      </rPr>
      <t xml:space="preserve">1. </t>
    </r>
    <r>
      <rPr>
        <sz val="10"/>
        <rFont val="Noto Sans CJK SC"/>
        <family val="2"/>
      </rPr>
      <t>事前に</t>
    </r>
    <r>
      <rPr>
        <sz val="10"/>
        <rFont val="Yu Gothic"/>
        <family val="3"/>
        <charset val="128"/>
      </rPr>
      <t>changelog</t>
    </r>
    <r>
      <rPr>
        <sz val="10"/>
        <rFont val="Noto Sans CJK SC"/>
        <family val="2"/>
      </rPr>
      <t xml:space="preserve">の件数を控える
</t>
    </r>
    <r>
      <rPr>
        <sz val="10"/>
        <rFont val="Yu Gothic"/>
        <family val="3"/>
        <charset val="128"/>
      </rPr>
      <t xml:space="preserve">2. </t>
    </r>
    <r>
      <rPr>
        <sz val="10"/>
        <rFont val="Noto Sans CJK SC"/>
        <family val="2"/>
      </rPr>
      <t xml:space="preserve">子バーの端をドラッグして終了日を後ろへ移動
</t>
    </r>
    <r>
      <rPr>
        <sz val="10"/>
        <rFont val="Yu Gothic"/>
        <family val="3"/>
        <charset val="128"/>
      </rPr>
      <t xml:space="preserve">3. </t>
    </r>
    <r>
      <rPr>
        <sz val="10"/>
        <rFont val="Noto Sans CJK SC"/>
        <family val="2"/>
      </rPr>
      <t>ドロップ</t>
    </r>
  </si>
  <si>
    <t>親バーが子の範囲に合わせて伸び、モーダル編集と同一の結果になる</t>
  </si>
  <si>
    <t>14-01-11</t>
  </si>
  <si>
    <t>マウスが⇔の状態でスケジュール期間の増減変更ができる。DB反映OK</t>
  </si>
  <si>
    <t>ガントチャート/スケジュールDB</t>
  </si>
  <si>
    <r>
      <rPr>
        <sz val="10"/>
        <rFont val="Yu Gothic"/>
        <family val="3"/>
        <charset val="128"/>
      </rPr>
      <t>schedules</t>
    </r>
    <r>
      <rPr>
        <sz val="10"/>
        <rFont val="Noto Sans CJK SC"/>
        <family val="2"/>
      </rPr>
      <t>の子レコードの</t>
    </r>
    <r>
      <rPr>
        <sz val="10"/>
        <rFont val="Yu Gothic"/>
        <family val="3"/>
        <charset val="128"/>
      </rPr>
      <t>endDate</t>
    </r>
    <r>
      <rPr>
        <sz val="10"/>
        <rFont val="Noto Sans CJK SC"/>
        <family val="2"/>
      </rPr>
      <t>が更新され、親レコードの</t>
    </r>
    <r>
      <rPr>
        <sz val="10"/>
        <rFont val="Yu Gothic"/>
        <family val="3"/>
        <charset val="128"/>
      </rPr>
      <t>endDate</t>
    </r>
    <r>
      <rPr>
        <sz val="10"/>
        <rFont val="Noto Sans CJK SC"/>
        <family val="2"/>
      </rPr>
      <t>が子の最遅終了日に一致する（</t>
    </r>
    <r>
      <rPr>
        <sz val="10"/>
        <rFont val="Yu Gothic"/>
        <family val="3"/>
        <charset val="128"/>
      </rPr>
      <t>syncAncestorDates</t>
    </r>
    <r>
      <rPr>
        <sz val="10"/>
        <rFont val="Noto Sans CJK SC"/>
        <family val="2"/>
      </rPr>
      <t>はバー経路でも発火）</t>
    </r>
  </si>
  <si>
    <t>14-01-12</t>
  </si>
  <si>
    <t>マウスが⇔の状態でスケジュール期間の増減変更ができる。変更履歴OK</t>
  </si>
  <si>
    <t>ガントチャート/変更履歴</t>
  </si>
  <si>
    <t>変更履歴パネルに2件（子のedit＋親の自動再計算edit）が表示される</t>
  </si>
  <si>
    <t>14-01-13</t>
  </si>
  <si>
    <t>バーをホバーするとスケジュール名・期間・営業日・ステータス説明が表示される。</t>
  </si>
  <si>
    <r>
      <rPr>
        <sz val="10"/>
        <rFont val="Yu Gothic"/>
        <family val="3"/>
        <charset val="128"/>
      </rPr>
      <t xml:space="preserve">1. </t>
    </r>
    <r>
      <rPr>
        <sz val="10"/>
        <rFont val="Noto Sans CJK SC"/>
        <family val="2"/>
      </rPr>
      <t>バーにマウスをホバーする</t>
    </r>
  </si>
  <si>
    <t>スケジュール名・期間・営業日・ステータス説明のツールチップが表示される</t>
  </si>
  <si>
    <t>14-01-14</t>
  </si>
  <si>
    <t>バーをホバー解除するとスケジュール名・期間・営業日・ステータス説明が非表示になる。</t>
  </si>
  <si>
    <t>バーのツールチップが表示されている／ガント本体表示中（プロジェクト選択済み）</t>
  </si>
  <si>
    <r>
      <rPr>
        <sz val="10"/>
        <rFont val="Yu Gothic"/>
        <family val="3"/>
        <charset val="128"/>
      </rPr>
      <t xml:space="preserve">1. </t>
    </r>
    <r>
      <rPr>
        <sz val="10"/>
        <rFont val="Noto Sans CJK SC"/>
        <family val="2"/>
      </rPr>
      <t>バーからマウスを外す（ホバー解除）</t>
    </r>
  </si>
  <si>
    <t>ツールチップが非表示になる</t>
  </si>
  <si>
    <t>14-01-15</t>
  </si>
  <si>
    <t>スケジュールバー/期間移動変更</t>
  </si>
  <si>
    <t>バーをつかみ期間の移動変更ができる。</t>
  </si>
  <si>
    <t>スケジュール1件、プロジェクト範囲内／ガント本体表示中（プロジェクト選択済み）</t>
  </si>
  <si>
    <r>
      <rPr>
        <sz val="10"/>
        <rFont val="Yu Gothic"/>
        <family val="3"/>
        <charset val="128"/>
      </rPr>
      <t xml:space="preserve">1. </t>
    </r>
    <r>
      <rPr>
        <sz val="10"/>
        <rFont val="Noto Sans CJK SC"/>
        <family val="2"/>
      </rPr>
      <t>バーをプロジェクト範囲内でドラッグして移動</t>
    </r>
  </si>
  <si>
    <t>その位置で確定する（境界内）</t>
  </si>
  <si>
    <t>14-01-16</t>
  </si>
  <si>
    <t>→親の場合：子供全体も追従する形で日程移動ができる。画面OK</t>
  </si>
  <si>
    <t>子を持つ親スケジュールバーが表示されている／ガント本体表示中（プロジェクト選択済み）</t>
  </si>
  <si>
    <r>
      <rPr>
        <sz val="10"/>
        <rFont val="Yu Gothic"/>
        <family val="3"/>
        <charset val="128"/>
      </rPr>
      <t xml:space="preserve">1. </t>
    </r>
    <r>
      <rPr>
        <sz val="10"/>
        <rFont val="Noto Sans CJK SC"/>
        <family val="2"/>
      </rPr>
      <t>親バーをつかんで日程移動する</t>
    </r>
  </si>
  <si>
    <t>配下の子スケジュール全体も追従して移動する</t>
  </si>
  <si>
    <t>14-01-17</t>
  </si>
  <si>
    <t>→末端の子の場合：全ての関連する親全体が追従する形で日程移動ができる。画面OK</t>
  </si>
  <si>
    <t>末端の子スケジュールを持つ階層／ガント本体表示中（プロジェクト選択済み）</t>
  </si>
  <si>
    <r>
      <rPr>
        <sz val="10"/>
        <rFont val="Yu Gothic"/>
        <family val="3"/>
        <charset val="128"/>
      </rPr>
      <t xml:space="preserve">1. </t>
    </r>
    <r>
      <rPr>
        <sz val="10"/>
        <rFont val="Noto Sans CJK SC"/>
        <family val="2"/>
      </rPr>
      <t>末端の子バーをつかんで日程移動</t>
    </r>
  </si>
  <si>
    <t>関連する親全体が追従する形で日程移動される（親が子の範囲に合わせて追従）</t>
  </si>
  <si>
    <t>14-01-18</t>
  </si>
  <si>
    <t>→親・子両方を持つ場合：関連する親・子両方が追従する形で日程移動ができる。画面OK</t>
  </si>
  <si>
    <t>親・子両方を持つ中間スケジュールを含む階層／ガント本体表示中（プロジェクト選択済み）</t>
  </si>
  <si>
    <r>
      <rPr>
        <sz val="10"/>
        <rFont val="Yu Gothic"/>
        <family val="3"/>
        <charset val="128"/>
      </rPr>
      <t xml:space="preserve">1. </t>
    </r>
    <r>
      <rPr>
        <sz val="10"/>
        <rFont val="Noto Sans CJK SC"/>
        <family val="2"/>
      </rPr>
      <t>親子両方を持つバーをつかんで日程移動</t>
    </r>
  </si>
  <si>
    <t>関連する親・子両方が追従する形で日程移動される</t>
  </si>
  <si>
    <t>14-01-19</t>
  </si>
  <si>
    <t>→親の場合：子供全体も追従する形で日程移動ができる。DB反映OK</t>
  </si>
  <si>
    <r>
      <rPr>
        <sz val="10"/>
        <rFont val="Yu Gothic"/>
        <family val="3"/>
        <charset val="128"/>
      </rPr>
      <t>schedules</t>
    </r>
    <r>
      <rPr>
        <sz val="10"/>
        <rFont val="Noto Sans CJK SC"/>
        <family val="2"/>
      </rPr>
      <t>ストアで配下の子スケジュールの</t>
    </r>
    <r>
      <rPr>
        <sz val="10"/>
        <rFont val="Yu Gothic"/>
        <family val="3"/>
        <charset val="128"/>
      </rPr>
      <t>start/end</t>
    </r>
    <r>
      <rPr>
        <sz val="10"/>
        <rFont val="Noto Sans CJK SC"/>
        <family val="2"/>
      </rPr>
      <t>も追従して更新される</t>
    </r>
  </si>
  <si>
    <t>14-01-20</t>
  </si>
  <si>
    <t>→末端の子の場合：全ての関連する親全体が追従する形で日程移動ができる。DB反映OK</t>
  </si>
  <si>
    <r>
      <rPr>
        <sz val="10"/>
        <rFont val="Yu Gothic"/>
        <family val="3"/>
        <charset val="128"/>
      </rPr>
      <t>schedules</t>
    </r>
    <r>
      <rPr>
        <sz val="10"/>
        <rFont val="Noto Sans CJK SC"/>
        <family val="2"/>
      </rPr>
      <t>で親レコードの</t>
    </r>
    <r>
      <rPr>
        <sz val="10"/>
        <rFont val="Yu Gothic"/>
        <family val="3"/>
        <charset val="128"/>
      </rPr>
      <t>start/end</t>
    </r>
    <r>
      <rPr>
        <sz val="10"/>
        <rFont val="Noto Sans CJK SC"/>
        <family val="2"/>
      </rPr>
      <t>が子に追従して再計算される</t>
    </r>
  </si>
  <si>
    <t>14-01-21</t>
  </si>
  <si>
    <t>→親・子両方を持つ場合：関連する親・子両方が追従する形で日程移動ができる。DB反映OK</t>
  </si>
  <si>
    <r>
      <rPr>
        <sz val="10"/>
        <rFont val="Yu Gothic"/>
        <family val="3"/>
        <charset val="128"/>
      </rPr>
      <t>schedules</t>
    </r>
    <r>
      <rPr>
        <sz val="10"/>
        <rFont val="Noto Sans CJK SC"/>
        <family val="2"/>
      </rPr>
      <t>で関連する親・子の</t>
    </r>
    <r>
      <rPr>
        <sz val="10"/>
        <rFont val="Yu Gothic"/>
        <family val="3"/>
        <charset val="128"/>
      </rPr>
      <t>start/end</t>
    </r>
    <r>
      <rPr>
        <sz val="10"/>
        <rFont val="Noto Sans CJK SC"/>
        <family val="2"/>
      </rPr>
      <t>が追従して再計算される</t>
    </r>
  </si>
  <si>
    <t>14-01-22</t>
  </si>
  <si>
    <t>→親の場合：子供全体も追従する形で日程移動ができる。変更履歴反映OK</t>
  </si>
  <si>
    <t>変更履歴パネルに移動分と追従分のエントリが表示される</t>
  </si>
  <si>
    <t>14-01-23</t>
  </si>
  <si>
    <t>→末端の子の場合：全ての関連する親全体が追従する形で日程移動ができる。変更履歴OK</t>
  </si>
  <si>
    <t>変更履歴パネルに、移動分と親の自動再計算分のedit（store:'schedules'）が表示される</t>
  </si>
  <si>
    <t>14-01-24</t>
  </si>
  <si>
    <t>→親・子両方を持つ場合：関連する親・子両方が追従する形で日程移動ができる。変更履歴ＯＫ</t>
  </si>
  <si>
    <t>変更履歴パネルに、移動分と関連する親子の自動再計算分のedit（store:'schedules'）が表示される</t>
  </si>
  <si>
    <t>14-01-25</t>
  </si>
  <si>
    <t>営業日数の計算正当性（土日祝除外）</t>
  </si>
  <si>
    <t>ガントチャート（バーのツールチップ）</t>
  </si>
  <si>
    <t>土日／祝日を含む期間のスケジュールが存在／ガント本体表示中（プロジェクト選択済み）</t>
  </si>
  <si>
    <r>
      <rPr>
        <sz val="10"/>
        <rFont val="Yu Gothic"/>
        <family val="3"/>
        <charset val="128"/>
      </rPr>
      <t xml:space="preserve">1. </t>
    </r>
    <r>
      <rPr>
        <sz val="10"/>
        <rFont val="Noto Sans CJK SC"/>
        <family val="2"/>
      </rPr>
      <t>バーにホバーして営業日数を確認</t>
    </r>
  </si>
  <si>
    <t>ツールチップの営業日数が、期間から土日・祝日を除外した日数と一致する（calculateDayTypeがnullの日のみカウント）</t>
  </si>
  <si>
    <t>凡例（セル色）</t>
  </si>
  <si>
    <t>観点区分＝確認先。【表示】画面に出る／【非表示】画面から消える・無効化／【DB】DevTools&gt;IndexedDBのストア反映／【遷移】画面遷移／【履歴】変更履歴に記録／【データ出力】ファイル出力＞自動ダウンロード。異常系は種別を作らず【表示】（アラート等）で表す。</t>
  </si>
  <si>
    <t>作成方針：ボタンごと・画面パーツ名ごとに項目を作成。</t>
  </si>
  <si>
    <t>(記入)</t>
    <rPh sb="1" eb="3">
      <t>キニュウ</t>
    </rPh>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</si>
</sst>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m/d/yyyy"/>
  </numFmts>
  <fonts count="18">
    <font>
      <sz val="11"/>
      <color theme="1"/>
      <name val="ＭＳ Ｐゴシック"/>
      <family val="2"/>
      <charset val="1"/>
    </font>
    <font>
      <b/>
      <sz val="14"/>
      <name val="Noto Sans CJK SC"/>
      <family val="2"/>
      <charset val="1"/>
    </font>
    <font>
      <sz val="11"/>
      <name val="Yu Gothic"/>
      <family val="3"/>
      <charset val="128"/>
    </font>
    <font>
      <sz val="11"/>
      <name val="Noto Sans CJK SC"/>
      <family val="2"/>
    </font>
    <font>
      <b/>
      <sz val="10"/>
      <name val="Noto Sans CJK SC"/>
      <family val="2"/>
      <charset val="1"/>
    </font>
    <font>
      <sz val="10"/>
      <name val="Noto Sans CJK SC"/>
      <family val="2"/>
      <charset val="1"/>
    </font>
    <font>
      <sz val="10"/>
      <name val="Yu Gothic"/>
      <family val="3"/>
      <charset val="128"/>
    </font>
    <font>
      <sz val="10"/>
      <name val="Noto Sans CJK SC"/>
      <family val="2"/>
    </font>
    <font>
      <b/>
      <sz val="11"/>
      <color rgb="FFFFFFFF"/>
      <name val="Noto Sans CJK SC"/>
      <family val="2"/>
      <charset val="1"/>
    </font>
    <font>
      <b/>
      <sz val="10"/>
      <name val="Yu Gothic"/>
      <family val="3"/>
      <charset val="128"/>
    </font>
    <font>
      <b/>
      <sz val="10"/>
      <name val="Noto Sans CJK SC"/>
      <family val="2"/>
    </font>
    <font>
      <b/>
      <sz val="11"/>
      <color rgb="FFFFFFFF"/>
      <name val="Yu Gothic"/>
      <family val="3"/>
      <charset val="128"/>
    </font>
    <font>
      <b/>
      <sz val="11"/>
      <color rgb="FFFFFFFF"/>
      <name val="Noto Sans CJK SC"/>
      <family val="2"/>
    </font>
    <font>
      <b/>
      <sz val="10"/>
      <color rgb="FFFFFFFF"/>
      <name val="Yu Gothic"/>
      <family val="3"/>
      <charset val="128"/>
    </font>
    <font>
      <b/>
      <sz val="10"/>
      <color rgb="FFFFFFFF"/>
      <name val="Noto Sans CJK SC"/>
      <family val="2"/>
    </font>
    <font>
      <b/>
      <sz val="10"/>
      <color rgb="FFFFFFFF"/>
      <name val="Noto Sans CJK SC"/>
      <family val="2"/>
      <charset val="1"/>
    </font>
    <font>
      <sz val="10"/>
      <name val="Yu Gothic"/>
      <family val="3"/>
      <charset val="128"/>
    </font>
    <font>
      <sz val="6"/>
      <name val="ＭＳ Ｐゴシック"/>
      <family val="3"/>
      <charset val="128"/>
    </font>
  </fonts>
  <fills count="8">
    <fill>
      <patternFill patternType="none"/>
    </fill>
    <fill>
      <patternFill patternType="gray125"/>
    </fill>
    <fill>
      <patternFill patternType="solid">
        <fgColor rgb="FF1E3A8A"/>
        <bgColor rgb="FF003366"/>
      </patternFill>
    </fill>
    <fill>
      <patternFill patternType="solid">
        <fgColor theme="8" tint="0.79989013336588644"/>
        <bgColor rgb="FFD9EAD3"/>
      </patternFill>
    </fill>
    <fill>
      <patternFill patternType="solid">
        <fgColor theme="5" tint="0.79989013336588644"/>
        <bgColor rgb="FFDDD9C3"/>
      </patternFill>
    </fill>
    <fill>
      <patternFill patternType="solid">
        <fgColor rgb="FFD9EAD3"/>
        <bgColor rgb="FFDBEEF4"/>
      </patternFill>
    </fill>
    <fill>
      <patternFill patternType="solid">
        <fgColor theme="2" tint="-9.9978637043366805E-2"/>
        <bgColor rgb="FFF2DCDB"/>
      </patternFill>
    </fill>
    <fill>
      <patternFill patternType="solid">
        <fgColor theme="0"/>
        <bgColor rgb="FFFFFFCC"/>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rgb="FFB0B0B0"/>
      </left>
      <right style="thin">
        <color rgb="FFB0B0B0"/>
      </right>
      <top style="thin">
        <color rgb="FFB0B0B0"/>
      </top>
      <bottom style="thin">
        <color rgb="FFB0B0B0"/>
      </bottom>
      <diagonal/>
    </border>
    <border>
      <left/>
      <right style="thin">
        <color rgb="FFB0B0B0"/>
      </right>
      <top style="thin">
        <color rgb="FFB0B0B0"/>
      </top>
      <bottom style="thin">
        <color rgb="FFB0B0B0"/>
      </bottom>
      <diagonal/>
    </border>
    <border>
      <left style="thin">
        <color rgb="FFB0B0B0"/>
      </left>
      <right style="thin">
        <color rgb="FFB0B0B0"/>
      </right>
      <top/>
      <bottom style="thin">
        <color rgb="FFB0B0B0"/>
      </bottom>
      <diagonal/>
    </border>
    <border>
      <left/>
      <right style="thin">
        <color rgb="FFB0B0B0"/>
      </right>
      <top/>
      <bottom style="thin">
        <color rgb="FFB0B0B0"/>
      </bottom>
      <diagonal/>
    </border>
    <border>
      <left style="thin">
        <color rgb="FFB0B0B0"/>
      </left>
      <right style="thin">
        <color rgb="FFB0B0B0"/>
      </right>
      <top style="thin">
        <color rgb="FFB0B0B0"/>
      </top>
      <bottom style="thin">
        <color auto="1"/>
      </bottom>
      <diagonal/>
    </border>
    <border>
      <left/>
      <right style="thin">
        <color rgb="FFB0B0B0"/>
      </right>
      <top style="thin">
        <color rgb="FFB0B0B0"/>
      </top>
      <bottom style="thin">
        <color auto="1"/>
      </bottom>
      <diagonal/>
    </border>
  </borders>
  <cellStyleXfs count="1">
    <xf numFmtId="0" fontId="0" fillId="0" borderId="0"/>
  </cellStyleXfs>
  <cellXfs count="60">
    <xf numFmtId="0" fontId="0" fillId="0" borderId="0" xfId="0"/>
    <xf numFmtId="0" fontId="6" fillId="0" borderId="0" xfId="0" applyFont="1" applyAlignment="1">
      <alignment horizontal="left" vertical="top" wrapText="1"/>
    </xf>
    <xf numFmtId="0" fontId="11" fillId="2" borderId="0" xfId="0" applyFont="1" applyFill="1" applyAlignment="1">
      <alignment horizontal="left" vertical="center" wrapText="1"/>
    </xf>
    <xf numFmtId="0" fontId="0" fillId="0" borderId="0" xfId="0"/>
    <xf numFmtId="0" fontId="1" fillId="0" borderId="0" xfId="0" applyFont="1" applyAlignment="1">
      <alignment horizontal="left" vertical="center"/>
    </xf>
    <xf numFmtId="0" fontId="5" fillId="0" borderId="0" xfId="0" applyFont="1" applyAlignment="1">
      <alignment horizontal="left" vertical="top" wrapText="1"/>
    </xf>
    <xf numFmtId="0" fontId="4" fillId="0" borderId="2" xfId="0" applyFont="1" applyBorder="1" applyAlignment="1">
      <alignment horizontal="center" vertical="center" wrapText="1"/>
    </xf>
    <xf numFmtId="0" fontId="8" fillId="2" borderId="0" xfId="0" applyFont="1" applyFill="1" applyAlignment="1">
      <alignment horizontal="center" vertical="center" wrapText="1"/>
    </xf>
    <xf numFmtId="0" fontId="6" fillId="0" borderId="2" xfId="0" applyFont="1" applyBorder="1" applyAlignment="1">
      <alignment horizontal="left" vertical="top" wrapText="1"/>
    </xf>
    <xf numFmtId="0" fontId="5" fillId="0" borderId="2" xfId="0" applyFont="1" applyBorder="1" applyAlignment="1">
      <alignment horizontal="left" vertical="top" wrapText="1"/>
    </xf>
    <xf numFmtId="0" fontId="2" fillId="0" borderId="0" xfId="0" applyFont="1" applyAlignment="1">
      <alignment horizontal="center" vertical="center" wrapText="1"/>
    </xf>
    <xf numFmtId="0" fontId="1" fillId="0" borderId="0" xfId="0" applyFont="1" applyAlignment="1">
      <alignment horizontal="center" vertical="center" wrapText="1"/>
    </xf>
    <xf numFmtId="0" fontId="4" fillId="0" borderId="1" xfId="0" applyFont="1" applyBorder="1" applyAlignment="1">
      <alignment horizontal="left" vertical="top"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0" fillId="3" borderId="1" xfId="0" applyFill="1" applyBorder="1"/>
    <xf numFmtId="0" fontId="0" fillId="4" borderId="1" xfId="0" applyFill="1" applyBorder="1"/>
    <xf numFmtId="0" fontId="0" fillId="5" borderId="1" xfId="0" applyFill="1" applyBorder="1"/>
    <xf numFmtId="0" fontId="9" fillId="0" borderId="1" xfId="0" applyFont="1" applyBorder="1" applyAlignment="1">
      <alignment horizontal="left" vertical="top" wrapText="1"/>
    </xf>
    <xf numFmtId="0" fontId="0" fillId="0" borderId="0" xfId="0" applyAlignment="1">
      <alignment horizontal="left"/>
    </xf>
    <xf numFmtId="0" fontId="13" fillId="2" borderId="3"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5" fillId="2" borderId="4" xfId="0" applyFont="1" applyFill="1" applyBorder="1" applyAlignment="1">
      <alignment horizontal="center" vertical="center" wrapText="1"/>
    </xf>
    <xf numFmtId="0" fontId="16" fillId="0" borderId="3" xfId="0" applyFont="1" applyBorder="1" applyAlignment="1">
      <alignment horizontal="center" vertical="top" wrapText="1"/>
    </xf>
    <xf numFmtId="0" fontId="16"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5" fillId="0" borderId="5" xfId="0" applyFont="1" applyBorder="1" applyAlignment="1">
      <alignment horizontal="left" vertical="top" wrapText="1"/>
    </xf>
    <xf numFmtId="0" fontId="16" fillId="0" borderId="6" xfId="0" applyFont="1" applyBorder="1" applyAlignment="1">
      <alignment horizontal="left" vertical="top" wrapText="1"/>
    </xf>
    <xf numFmtId="0" fontId="5" fillId="0" borderId="6" xfId="0" applyFont="1" applyBorder="1" applyAlignment="1">
      <alignment horizontal="left" vertical="top" wrapText="1"/>
    </xf>
    <xf numFmtId="0" fontId="16" fillId="0" borderId="3" xfId="0" applyFont="1" applyBorder="1" applyAlignment="1">
      <alignment horizontal="center" vertical="center"/>
    </xf>
    <xf numFmtId="0" fontId="5" fillId="3" borderId="5" xfId="0" applyFont="1" applyFill="1" applyBorder="1" applyAlignment="1">
      <alignment horizontal="left" vertical="top" wrapText="1"/>
    </xf>
    <xf numFmtId="0" fontId="16" fillId="3" borderId="6" xfId="0" applyFont="1" applyFill="1" applyBorder="1" applyAlignment="1">
      <alignment horizontal="left" vertical="top" wrapText="1"/>
    </xf>
    <xf numFmtId="0" fontId="5" fillId="6" borderId="6" xfId="0" applyFont="1" applyFill="1" applyBorder="1" applyAlignment="1">
      <alignment horizontal="left" vertical="top" wrapText="1"/>
    </xf>
    <xf numFmtId="0" fontId="5" fillId="7" borderId="3" xfId="0" applyFont="1" applyFill="1" applyBorder="1" applyAlignment="1">
      <alignment horizontal="center" vertical="top" wrapText="1"/>
    </xf>
    <xf numFmtId="0" fontId="5" fillId="3" borderId="6" xfId="0" applyFont="1" applyFill="1" applyBorder="1" applyAlignment="1">
      <alignment horizontal="left" vertical="top" wrapText="1"/>
    </xf>
    <xf numFmtId="0" fontId="5" fillId="7" borderId="5" xfId="0" applyFont="1" applyFill="1" applyBorder="1" applyAlignment="1">
      <alignment horizontal="left" vertical="top" wrapText="1"/>
    </xf>
    <xf numFmtId="0" fontId="16" fillId="7" borderId="6" xfId="0" applyFont="1" applyFill="1" applyBorder="1" applyAlignment="1">
      <alignment horizontal="left" vertical="top" wrapText="1"/>
    </xf>
    <xf numFmtId="0" fontId="5" fillId="7" borderId="6" xfId="0" applyFont="1" applyFill="1" applyBorder="1" applyAlignment="1">
      <alignment horizontal="left" vertical="top" wrapText="1"/>
    </xf>
    <xf numFmtId="0" fontId="16" fillId="5" borderId="3" xfId="0" applyFont="1" applyFill="1" applyBorder="1" applyAlignment="1">
      <alignment horizontal="center" vertical="top" wrapText="1"/>
    </xf>
    <xf numFmtId="0" fontId="16" fillId="5" borderId="3" xfId="0" applyFont="1" applyFill="1" applyBorder="1" applyAlignment="1">
      <alignment horizontal="left" vertical="top" wrapText="1"/>
    </xf>
    <xf numFmtId="0" fontId="5" fillId="5" borderId="3" xfId="0" applyFont="1" applyFill="1" applyBorder="1" applyAlignment="1">
      <alignment horizontal="left" vertical="top" wrapText="1"/>
    </xf>
    <xf numFmtId="0" fontId="5" fillId="5" borderId="3" xfId="0" applyFont="1" applyFill="1" applyBorder="1" applyAlignment="1">
      <alignment horizontal="center" vertical="top" wrapText="1"/>
    </xf>
    <xf numFmtId="0" fontId="5" fillId="5" borderId="5" xfId="0" applyFont="1" applyFill="1" applyBorder="1" applyAlignment="1">
      <alignment horizontal="left" vertical="top" wrapText="1"/>
    </xf>
    <xf numFmtId="0" fontId="16" fillId="5" borderId="6" xfId="0" applyFont="1" applyFill="1" applyBorder="1" applyAlignment="1">
      <alignment horizontal="left" vertical="top" wrapText="1"/>
    </xf>
    <xf numFmtId="0" fontId="5" fillId="5" borderId="6" xfId="0" applyFont="1" applyFill="1" applyBorder="1" applyAlignment="1">
      <alignment horizontal="left" vertical="top" wrapText="1"/>
    </xf>
    <xf numFmtId="0" fontId="16" fillId="7" borderId="3" xfId="0" applyFont="1" applyFill="1" applyBorder="1" applyAlignment="1">
      <alignment horizontal="left" vertical="top" wrapText="1"/>
    </xf>
    <xf numFmtId="0" fontId="5" fillId="7" borderId="3" xfId="0" applyFont="1" applyFill="1" applyBorder="1" applyAlignment="1">
      <alignment horizontal="left" vertical="top" wrapText="1"/>
    </xf>
    <xf numFmtId="0" fontId="16" fillId="0" borderId="5" xfId="0" applyFont="1" applyBorder="1" applyAlignment="1">
      <alignment horizontal="left" vertical="top" wrapText="1"/>
    </xf>
    <xf numFmtId="0" fontId="5" fillId="7" borderId="7" xfId="0" applyFont="1" applyFill="1" applyBorder="1" applyAlignment="1">
      <alignment horizontal="left" vertical="top" wrapText="1"/>
    </xf>
    <xf numFmtId="0" fontId="16" fillId="7" borderId="8" xfId="0" applyFont="1" applyFill="1" applyBorder="1" applyAlignment="1">
      <alignment horizontal="left" vertical="top" wrapText="1"/>
    </xf>
    <xf numFmtId="0" fontId="5" fillId="7" borderId="8" xfId="0" applyFont="1" applyFill="1" applyBorder="1" applyAlignment="1">
      <alignment horizontal="left" vertical="top" wrapText="1"/>
    </xf>
    <xf numFmtId="0" fontId="16" fillId="4" borderId="6" xfId="0" applyFont="1" applyFill="1" applyBorder="1" applyAlignment="1">
      <alignment horizontal="left" vertical="top" wrapText="1"/>
    </xf>
    <xf numFmtId="0" fontId="5" fillId="3" borderId="3" xfId="0" applyFont="1" applyFill="1" applyBorder="1" applyAlignment="1">
      <alignment horizontal="left" vertical="top" wrapText="1"/>
    </xf>
    <xf numFmtId="0" fontId="5" fillId="4" borderId="6" xfId="0" applyFont="1" applyFill="1" applyBorder="1" applyAlignment="1">
      <alignment horizontal="left" vertical="top" wrapText="1"/>
    </xf>
    <xf numFmtId="176" fontId="16" fillId="5" borderId="3" xfId="0" applyNumberFormat="1" applyFont="1" applyFill="1" applyBorder="1" applyAlignment="1">
      <alignment horizontal="center" vertical="top" wrapText="1"/>
    </xf>
    <xf numFmtId="0" fontId="16" fillId="5" borderId="5" xfId="0" applyFont="1" applyFill="1" applyBorder="1" applyAlignment="1">
      <alignment horizontal="left" vertical="top" wrapText="1"/>
    </xf>
    <xf numFmtId="0" fontId="16" fillId="0" borderId="4" xfId="0" applyFont="1" applyBorder="1" applyAlignment="1">
      <alignment horizontal="left" vertical="top" wrapText="1"/>
    </xf>
    <xf numFmtId="0" fontId="4" fillId="0" borderId="0" xfId="0" applyFont="1"/>
  </cellXfs>
  <cellStyles count="1">
    <cellStyle name="標準"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DBEEF4"/>
      <rgbColor rgb="FF660066"/>
      <rgbColor rgb="FFFF8080"/>
      <rgbColor rgb="FF0066CC"/>
      <rgbColor rgb="FFDDD9C3"/>
      <rgbColor rgb="FF000080"/>
      <rgbColor rgb="FFFF00FF"/>
      <rgbColor rgb="FFFFFF00"/>
      <rgbColor rgb="FF00FFFF"/>
      <rgbColor rgb="FF800080"/>
      <rgbColor rgb="FF800000"/>
      <rgbColor rgb="FF008080"/>
      <rgbColor rgb="FF0000FF"/>
      <rgbColor rgb="FF00CCFF"/>
      <rgbColor rgb="FFCCFFFF"/>
      <rgbColor rgb="FFD9EAD3"/>
      <rgbColor rgb="FFFFFF99"/>
      <rgbColor rgb="FF99CCFF"/>
      <rgbColor rgb="FFFF99CC"/>
      <rgbColor rgb="FFCC99FF"/>
      <rgbColor rgb="FFF2DCDB"/>
      <rgbColor rgb="FF3366FF"/>
      <rgbColor rgb="FF33CCCC"/>
      <rgbColor rgb="FF99CC00"/>
      <rgbColor rgb="FFFFCC00"/>
      <rgbColor rgb="FFFF9900"/>
      <rgbColor rgb="FFFF6600"/>
      <rgbColor rgb="FF666699"/>
      <rgbColor rgb="FFB0B0B0"/>
      <rgbColor rgb="FF003366"/>
      <rgbColor rgb="FF339966"/>
      <rgbColor rgb="FF003300"/>
      <rgbColor rgb="FF333300"/>
      <rgbColor rgb="FF993300"/>
      <rgbColor rgb="FF993366"/>
      <rgbColor rgb="FF1E3A8A"/>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
  <sheetViews>
    <sheetView tabSelected="1" topLeftCell="A15" zoomScaleNormal="100" workbookViewId="0">
      <selection activeCell="B10" sqref="B10:F10"/>
    </sheetView>
  </sheetViews>
  <sheetFormatPr defaultColWidth="8.54296875" defaultRowHeight="13"/>
  <cols>
    <col min="1" max="2" width="16" customWidth="1"/>
    <col min="3" max="3" width="18" customWidth="1"/>
    <col min="4" max="6" width="14" customWidth="1"/>
  </cols>
  <sheetData>
    <row r="1" spans="1:6" ht="21" customHeight="1">
      <c r="A1" s="11" t="s">
        <v>0</v>
      </c>
      <c r="B1" s="11"/>
      <c r="C1" s="11"/>
      <c r="D1" s="11"/>
      <c r="E1" s="11"/>
      <c r="F1" s="11"/>
    </row>
    <row r="2" spans="1:6" ht="16.5" customHeight="1">
      <c r="A2" s="10" t="s">
        <v>1</v>
      </c>
      <c r="B2" s="10"/>
      <c r="C2" s="10"/>
      <c r="D2" s="10"/>
      <c r="E2" s="10"/>
      <c r="F2" s="10"/>
    </row>
    <row r="3" spans="1:6" ht="13.5" customHeight="1"/>
    <row r="4" spans="1:6" ht="15" customHeight="1">
      <c r="A4" s="12" t="s">
        <v>2</v>
      </c>
      <c r="B4" s="9" t="s">
        <v>0</v>
      </c>
      <c r="C4" s="9"/>
      <c r="D4" s="9"/>
      <c r="E4" s="9"/>
      <c r="F4" s="9"/>
    </row>
    <row r="5" spans="1:6" ht="15" customHeight="1">
      <c r="A5" s="12" t="s">
        <v>3</v>
      </c>
      <c r="B5" s="8" t="s">
        <v>4</v>
      </c>
      <c r="C5" s="8"/>
      <c r="D5" s="8"/>
      <c r="E5" s="8"/>
      <c r="F5" s="8"/>
    </row>
    <row r="6" spans="1:6" ht="15" customHeight="1">
      <c r="A6" s="12" t="s">
        <v>5</v>
      </c>
      <c r="B6" s="8" t="s">
        <v>6</v>
      </c>
      <c r="C6" s="8"/>
      <c r="D6" s="8"/>
      <c r="E6" s="8"/>
      <c r="F6" s="8"/>
    </row>
    <row r="7" spans="1:6" ht="15" customHeight="1">
      <c r="A7" s="12" t="s">
        <v>7</v>
      </c>
      <c r="B7" s="9" t="s">
        <v>1113</v>
      </c>
      <c r="C7" s="9"/>
      <c r="D7" s="9"/>
      <c r="E7" s="9"/>
      <c r="F7" s="9"/>
    </row>
    <row r="8" spans="1:6" ht="15" customHeight="1">
      <c r="A8" s="12" t="s">
        <v>9</v>
      </c>
      <c r="B8" s="9" t="s">
        <v>10</v>
      </c>
      <c r="C8" s="9"/>
      <c r="D8" s="9"/>
      <c r="E8" s="9"/>
      <c r="F8" s="9"/>
    </row>
    <row r="9" spans="1:6" ht="15" customHeight="1">
      <c r="A9" s="12" t="s">
        <v>11</v>
      </c>
      <c r="B9" s="9" t="s">
        <v>8</v>
      </c>
      <c r="C9" s="9"/>
      <c r="D9" s="9"/>
      <c r="E9" s="9"/>
      <c r="F9" s="9"/>
    </row>
    <row r="10" spans="1:6" ht="15" customHeight="1">
      <c r="A10" s="12" t="s">
        <v>12</v>
      </c>
      <c r="B10" s="9" t="s">
        <v>10</v>
      </c>
      <c r="C10" s="9"/>
      <c r="D10" s="9"/>
      <c r="E10" s="9"/>
      <c r="F10" s="9"/>
    </row>
    <row r="11" spans="1:6" ht="15" customHeight="1">
      <c r="A11" s="12" t="s">
        <v>13</v>
      </c>
      <c r="B11" s="9" t="s">
        <v>14</v>
      </c>
      <c r="C11" s="9"/>
      <c r="D11" s="9"/>
      <c r="E11" s="9"/>
      <c r="F11" s="9"/>
    </row>
    <row r="12" spans="1:6" ht="13.5" customHeight="1"/>
    <row r="13" spans="1:6" ht="16.5" customHeight="1">
      <c r="A13" s="7" t="s">
        <v>15</v>
      </c>
      <c r="B13" s="7"/>
      <c r="C13" s="7"/>
      <c r="D13" s="7"/>
      <c r="E13" s="7"/>
      <c r="F13" s="7"/>
    </row>
    <row r="14" spans="1:6" ht="15" customHeight="1">
      <c r="A14" s="13" t="s">
        <v>16</v>
      </c>
      <c r="B14" s="13" t="s">
        <v>17</v>
      </c>
      <c r="C14" s="6" t="s">
        <v>18</v>
      </c>
      <c r="D14" s="6"/>
      <c r="E14" s="6"/>
      <c r="F14" s="6"/>
    </row>
    <row r="15" spans="1:6" ht="29.25" customHeight="1">
      <c r="A15" s="14" t="s">
        <v>19</v>
      </c>
      <c r="B15" s="14" t="s">
        <v>10</v>
      </c>
      <c r="C15" s="9" t="s">
        <v>20</v>
      </c>
      <c r="D15" s="9"/>
      <c r="E15" s="9"/>
      <c r="F15" s="9"/>
    </row>
    <row r="16" spans="1:6" ht="29.25" customHeight="1">
      <c r="A16" s="15" t="s">
        <v>21</v>
      </c>
      <c r="B16" s="14" t="s">
        <v>10</v>
      </c>
      <c r="C16" s="9" t="s">
        <v>22</v>
      </c>
      <c r="D16" s="9"/>
      <c r="E16" s="9"/>
      <c r="F16" s="9"/>
    </row>
    <row r="17" spans="1:6" ht="43.5" customHeight="1">
      <c r="A17" s="15" t="s">
        <v>23</v>
      </c>
      <c r="B17" s="14" t="s">
        <v>10</v>
      </c>
      <c r="C17" s="9" t="s">
        <v>24</v>
      </c>
      <c r="D17" s="9"/>
      <c r="E17" s="9"/>
      <c r="F17" s="9"/>
    </row>
    <row r="18" spans="1:6" ht="13.5" customHeight="1"/>
    <row r="19" spans="1:6" ht="16.5" customHeight="1">
      <c r="A19" s="7" t="s">
        <v>25</v>
      </c>
      <c r="B19" s="7"/>
      <c r="C19" s="7"/>
      <c r="D19" s="7"/>
      <c r="E19" s="7"/>
      <c r="F19" s="7"/>
    </row>
    <row r="20" spans="1:6" ht="15" customHeight="1">
      <c r="A20" s="16"/>
      <c r="B20" s="5" t="s">
        <v>26</v>
      </c>
      <c r="C20" s="5"/>
      <c r="D20" s="5"/>
      <c r="E20" s="5"/>
      <c r="F20" s="5"/>
    </row>
    <row r="21" spans="1:6" ht="15" customHeight="1">
      <c r="A21" s="17"/>
      <c r="B21" s="5" t="s">
        <v>27</v>
      </c>
      <c r="C21" s="5"/>
      <c r="D21" s="5"/>
      <c r="E21" s="5"/>
      <c r="F21" s="5"/>
    </row>
    <row r="22" spans="1:6" ht="15" customHeight="1">
      <c r="A22" s="18"/>
      <c r="B22" s="5" t="s">
        <v>28</v>
      </c>
      <c r="C22" s="5"/>
      <c r="D22" s="5"/>
      <c r="E22" s="5"/>
      <c r="F22" s="5"/>
    </row>
    <row r="23" spans="1:6" ht="13.5" customHeight="1"/>
    <row r="24" spans="1:6" ht="16.5" customHeight="1">
      <c r="A24" s="7" t="s">
        <v>29</v>
      </c>
      <c r="B24" s="7"/>
      <c r="C24" s="7"/>
      <c r="D24" s="7"/>
      <c r="E24" s="7"/>
      <c r="F24" s="7"/>
    </row>
    <row r="25" spans="1:6" ht="15" customHeight="1">
      <c r="A25" s="5" t="s">
        <v>30</v>
      </c>
      <c r="B25" s="5"/>
      <c r="C25" s="5"/>
      <c r="D25" s="5"/>
      <c r="E25" s="5"/>
      <c r="F25" s="5"/>
    </row>
    <row r="26" spans="1:6" ht="13.5" customHeight="1"/>
    <row r="27" spans="1:6" ht="16.5" customHeight="1">
      <c r="A27" s="7" t="s">
        <v>31</v>
      </c>
      <c r="B27" s="7"/>
      <c r="C27" s="7"/>
      <c r="D27" s="7"/>
      <c r="E27" s="7"/>
      <c r="F27" s="7"/>
    </row>
    <row r="28" spans="1:6" ht="15" customHeight="1">
      <c r="A28" s="12" t="s">
        <v>32</v>
      </c>
      <c r="B28" s="14">
        <f>COUNTA(テスト項目一覧!A2:A235)</f>
        <v>234</v>
      </c>
    </row>
    <row r="29" spans="1:6" ht="15" customHeight="1">
      <c r="A29" s="19" t="s">
        <v>33</v>
      </c>
      <c r="B29" s="14">
        <f>COUNTIF(テスト項目一覧!N2:N235,"OK")</f>
        <v>0</v>
      </c>
    </row>
    <row r="30" spans="1:6" ht="15" customHeight="1">
      <c r="A30" s="19" t="s">
        <v>34</v>
      </c>
      <c r="B30" s="14">
        <f>COUNTIF(テスト項目一覧!N2:N235,"NG")</f>
        <v>0</v>
      </c>
    </row>
    <row r="31" spans="1:6" ht="15" customHeight="1">
      <c r="A31" s="12" t="s">
        <v>35</v>
      </c>
      <c r="B31" s="14">
        <f>COUNTIF(テスト項目一覧!N2:N235,"−")</f>
        <v>234</v>
      </c>
    </row>
    <row r="32" spans="1:6" ht="15" customHeight="1">
      <c r="A32" s="12" t="s">
        <v>36</v>
      </c>
      <c r="B32" s="14">
        <f>COUNTIF(テスト項目一覧!N2:N235,"保")</f>
        <v>0</v>
      </c>
    </row>
  </sheetData>
  <mergeCells count="22">
    <mergeCell ref="A25:F25"/>
    <mergeCell ref="A27:F27"/>
    <mergeCell ref="A19:F19"/>
    <mergeCell ref="B20:F20"/>
    <mergeCell ref="B21:F21"/>
    <mergeCell ref="B22:F22"/>
    <mergeCell ref="A24:F24"/>
    <mergeCell ref="A13:F13"/>
    <mergeCell ref="C14:F14"/>
    <mergeCell ref="C15:F15"/>
    <mergeCell ref="C16:F16"/>
    <mergeCell ref="C17:F17"/>
    <mergeCell ref="B7:F7"/>
    <mergeCell ref="B8:F8"/>
    <mergeCell ref="B9:F9"/>
    <mergeCell ref="B10:F10"/>
    <mergeCell ref="B11:F11"/>
    <mergeCell ref="A1:F1"/>
    <mergeCell ref="A2:F2"/>
    <mergeCell ref="B4:F4"/>
    <mergeCell ref="B5:F5"/>
    <mergeCell ref="B6:F6"/>
  </mergeCells>
  <phoneticPr fontId="17"/>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31"/>
  <sheetViews>
    <sheetView topLeftCell="A19" zoomScaleNormal="100" workbookViewId="0">
      <selection sqref="A1:H1"/>
    </sheetView>
  </sheetViews>
  <sheetFormatPr defaultColWidth="8.54296875" defaultRowHeight="13"/>
  <cols>
    <col min="1" max="8" width="13" customWidth="1"/>
  </cols>
  <sheetData>
    <row r="1" spans="1:8" ht="17.25" customHeight="1">
      <c r="A1" s="4" t="s">
        <v>37</v>
      </c>
      <c r="B1" s="4"/>
      <c r="C1" s="4"/>
      <c r="D1" s="4"/>
      <c r="E1" s="4"/>
      <c r="F1" s="4"/>
      <c r="G1" s="4"/>
      <c r="H1" s="4"/>
    </row>
    <row r="2" spans="1:8" ht="13.5" customHeight="1">
      <c r="A2" s="3"/>
      <c r="B2" s="3"/>
      <c r="C2" s="3"/>
      <c r="D2" s="3"/>
      <c r="E2" s="3"/>
      <c r="F2" s="3"/>
      <c r="G2" s="3"/>
      <c r="H2" s="3"/>
    </row>
    <row r="3" spans="1:8" ht="16.5" customHeight="1">
      <c r="A3" s="2" t="s">
        <v>38</v>
      </c>
      <c r="B3" s="2"/>
      <c r="C3" s="2"/>
      <c r="D3" s="2"/>
      <c r="E3" s="2"/>
      <c r="F3" s="2"/>
      <c r="G3" s="2"/>
      <c r="H3" s="2"/>
    </row>
    <row r="4" spans="1:8" ht="100.5" customHeight="1">
      <c r="A4" s="5" t="s">
        <v>39</v>
      </c>
      <c r="B4" s="5"/>
      <c r="C4" s="5"/>
      <c r="D4" s="5"/>
      <c r="E4" s="5"/>
      <c r="F4" s="5"/>
      <c r="G4" s="5"/>
      <c r="H4" s="5"/>
    </row>
    <row r="5" spans="1:8" ht="13.5" customHeight="1">
      <c r="A5" s="3"/>
      <c r="B5" s="3"/>
      <c r="C5" s="3"/>
      <c r="D5" s="3"/>
      <c r="E5" s="3"/>
      <c r="F5" s="3"/>
      <c r="G5" s="3"/>
      <c r="H5" s="3"/>
    </row>
    <row r="6" spans="1:8" ht="16.5" customHeight="1">
      <c r="A6" s="2" t="s">
        <v>40</v>
      </c>
      <c r="B6" s="2"/>
      <c r="C6" s="2"/>
      <c r="D6" s="2"/>
      <c r="E6" s="2"/>
      <c r="F6" s="2"/>
      <c r="G6" s="2"/>
      <c r="H6" s="2"/>
    </row>
    <row r="7" spans="1:8" ht="86.25" customHeight="1">
      <c r="A7" s="5" t="s">
        <v>41</v>
      </c>
      <c r="B7" s="5"/>
      <c r="C7" s="5"/>
      <c r="D7" s="5"/>
      <c r="E7" s="5"/>
      <c r="F7" s="5"/>
      <c r="G7" s="5"/>
      <c r="H7" s="5"/>
    </row>
    <row r="8" spans="1:8" ht="13.5" customHeight="1">
      <c r="A8" s="3"/>
      <c r="B8" s="3"/>
      <c r="C8" s="3"/>
      <c r="D8" s="3"/>
      <c r="E8" s="3"/>
      <c r="F8" s="3"/>
      <c r="G8" s="3"/>
      <c r="H8" s="3"/>
    </row>
    <row r="9" spans="1:8" ht="16.5" customHeight="1">
      <c r="A9" s="2" t="s">
        <v>42</v>
      </c>
      <c r="B9" s="2"/>
      <c r="C9" s="2"/>
      <c r="D9" s="2"/>
      <c r="E9" s="2"/>
      <c r="F9" s="2"/>
      <c r="G9" s="2"/>
      <c r="H9" s="2"/>
    </row>
    <row r="10" spans="1:8" ht="72" customHeight="1">
      <c r="A10" s="5" t="s">
        <v>43</v>
      </c>
      <c r="B10" s="5"/>
      <c r="C10" s="5"/>
      <c r="D10" s="5"/>
      <c r="E10" s="5"/>
      <c r="F10" s="5"/>
      <c r="G10" s="5"/>
      <c r="H10" s="5"/>
    </row>
    <row r="11" spans="1:8" ht="13.5" customHeight="1">
      <c r="A11" s="3"/>
      <c r="B11" s="3"/>
      <c r="C11" s="3"/>
      <c r="D11" s="3"/>
      <c r="E11" s="3"/>
      <c r="F11" s="3"/>
      <c r="G11" s="3"/>
      <c r="H11" s="3"/>
    </row>
    <row r="12" spans="1:8" ht="16.5" customHeight="1">
      <c r="A12" s="2" t="s">
        <v>44</v>
      </c>
      <c r="B12" s="2"/>
      <c r="C12" s="2"/>
      <c r="D12" s="2"/>
      <c r="E12" s="2"/>
      <c r="F12" s="2"/>
      <c r="G12" s="2"/>
      <c r="H12" s="2"/>
    </row>
    <row r="13" spans="1:8" ht="86.25" customHeight="1">
      <c r="A13" s="5" t="s">
        <v>45</v>
      </c>
      <c r="B13" s="5"/>
      <c r="C13" s="5"/>
      <c r="D13" s="5"/>
      <c r="E13" s="5"/>
      <c r="F13" s="5"/>
      <c r="G13" s="5"/>
      <c r="H13" s="5"/>
    </row>
    <row r="14" spans="1:8" ht="13.5" customHeight="1">
      <c r="A14" s="3"/>
      <c r="B14" s="3"/>
      <c r="C14" s="3"/>
      <c r="D14" s="3"/>
      <c r="E14" s="3"/>
      <c r="F14" s="3"/>
      <c r="G14" s="3"/>
      <c r="H14" s="3"/>
    </row>
    <row r="15" spans="1:8" ht="16.5" customHeight="1">
      <c r="A15" s="2" t="s">
        <v>46</v>
      </c>
      <c r="B15" s="2"/>
      <c r="C15" s="2"/>
      <c r="D15" s="2"/>
      <c r="E15" s="2"/>
      <c r="F15" s="2"/>
      <c r="G15" s="2"/>
      <c r="H15" s="2"/>
    </row>
    <row r="16" spans="1:8" ht="57.75" customHeight="1">
      <c r="A16" s="5" t="s">
        <v>47</v>
      </c>
      <c r="B16" s="5"/>
      <c r="C16" s="5"/>
      <c r="D16" s="5"/>
      <c r="E16" s="5"/>
      <c r="F16" s="5"/>
      <c r="G16" s="5"/>
      <c r="H16" s="5"/>
    </row>
    <row r="17" spans="1:8" ht="13.5" customHeight="1">
      <c r="A17" s="3"/>
      <c r="B17" s="3"/>
      <c r="C17" s="3"/>
      <c r="D17" s="3"/>
      <c r="E17" s="3"/>
      <c r="F17" s="3"/>
      <c r="G17" s="3"/>
      <c r="H17" s="3"/>
    </row>
    <row r="18" spans="1:8" ht="16.5" customHeight="1">
      <c r="A18" s="2" t="s">
        <v>48</v>
      </c>
      <c r="B18" s="2"/>
      <c r="C18" s="2"/>
      <c r="D18" s="2"/>
      <c r="E18" s="2"/>
      <c r="F18" s="2"/>
      <c r="G18" s="2"/>
      <c r="H18" s="2"/>
    </row>
    <row r="19" spans="1:8" ht="236.25" customHeight="1">
      <c r="A19" s="1" t="s">
        <v>49</v>
      </c>
      <c r="B19" s="1"/>
      <c r="C19" s="1"/>
      <c r="D19" s="1"/>
      <c r="E19" s="1"/>
      <c r="F19" s="1"/>
      <c r="G19" s="1"/>
      <c r="H19" s="1"/>
    </row>
    <row r="20" spans="1:8" ht="13.5" customHeight="1">
      <c r="A20" s="3"/>
      <c r="B20" s="3"/>
      <c r="C20" s="3"/>
      <c r="D20" s="3"/>
      <c r="E20" s="3"/>
      <c r="F20" s="3"/>
      <c r="G20" s="3"/>
      <c r="H20" s="3"/>
    </row>
    <row r="21" spans="1:8" ht="16.5" customHeight="1">
      <c r="A21" s="2" t="s">
        <v>50</v>
      </c>
      <c r="B21" s="2"/>
      <c r="C21" s="2"/>
      <c r="D21" s="2"/>
      <c r="E21" s="2"/>
      <c r="F21" s="2"/>
      <c r="G21" s="2"/>
      <c r="H21" s="2"/>
    </row>
    <row r="22" spans="1:8" ht="86.25" customHeight="1">
      <c r="A22" s="5" t="s">
        <v>51</v>
      </c>
      <c r="B22" s="5"/>
      <c r="C22" s="5"/>
      <c r="D22" s="5"/>
      <c r="E22" s="5"/>
      <c r="F22" s="5"/>
      <c r="G22" s="5"/>
      <c r="H22" s="5"/>
    </row>
    <row r="23" spans="1:8" ht="13.5" customHeight="1">
      <c r="A23" s="3"/>
      <c r="B23" s="3"/>
      <c r="C23" s="3"/>
      <c r="D23" s="3"/>
      <c r="E23" s="3"/>
      <c r="F23" s="3"/>
      <c r="G23" s="3"/>
      <c r="H23" s="3"/>
    </row>
    <row r="24" spans="1:8" ht="16.5" customHeight="1">
      <c r="A24" s="2" t="s">
        <v>52</v>
      </c>
      <c r="B24" s="2"/>
      <c r="C24" s="2"/>
      <c r="D24" s="2"/>
      <c r="E24" s="2"/>
      <c r="F24" s="2"/>
      <c r="G24" s="2"/>
      <c r="H24" s="2"/>
    </row>
    <row r="25" spans="1:8" ht="86.25" customHeight="1">
      <c r="A25" s="5" t="s">
        <v>53</v>
      </c>
      <c r="B25" s="5"/>
      <c r="C25" s="5"/>
      <c r="D25" s="5"/>
      <c r="E25" s="5"/>
      <c r="F25" s="5"/>
      <c r="G25" s="5"/>
      <c r="H25" s="5"/>
    </row>
    <row r="26" spans="1:8" ht="13.5" customHeight="1">
      <c r="A26" s="3"/>
      <c r="B26" s="3"/>
      <c r="C26" s="3"/>
      <c r="D26" s="3"/>
      <c r="E26" s="3"/>
      <c r="F26" s="3"/>
      <c r="G26" s="3"/>
      <c r="H26" s="3"/>
    </row>
    <row r="27" spans="1:8" ht="16.5" customHeight="1">
      <c r="A27" s="2" t="s">
        <v>54</v>
      </c>
      <c r="B27" s="2"/>
      <c r="C27" s="2"/>
      <c r="D27" s="2"/>
      <c r="E27" s="2"/>
      <c r="F27" s="2"/>
      <c r="G27" s="2"/>
      <c r="H27" s="2"/>
    </row>
    <row r="28" spans="1:8" ht="15" customHeight="1">
      <c r="A28" s="5" t="s">
        <v>55</v>
      </c>
      <c r="B28" s="5"/>
      <c r="C28" s="5"/>
      <c r="D28" s="5"/>
      <c r="E28" s="5"/>
      <c r="F28" s="5"/>
      <c r="G28" s="5"/>
      <c r="H28" s="5"/>
    </row>
    <row r="29" spans="1:8" ht="13.5" customHeight="1">
      <c r="A29" s="3"/>
      <c r="B29" s="3"/>
      <c r="C29" s="3"/>
      <c r="D29" s="3"/>
      <c r="E29" s="3"/>
      <c r="F29" s="3"/>
      <c r="G29" s="3"/>
      <c r="H29" s="3"/>
    </row>
    <row r="30" spans="1:8" ht="16.5" customHeight="1">
      <c r="A30" s="2" t="s">
        <v>56</v>
      </c>
      <c r="B30" s="2"/>
      <c r="C30" s="2"/>
      <c r="D30" s="2"/>
      <c r="E30" s="2"/>
      <c r="F30" s="2"/>
      <c r="G30" s="2"/>
      <c r="H30" s="2"/>
    </row>
    <row r="31" spans="1:8" ht="86.25" customHeight="1">
      <c r="A31" s="5" t="s">
        <v>57</v>
      </c>
      <c r="B31" s="5"/>
      <c r="C31" s="5"/>
      <c r="D31" s="5"/>
      <c r="E31" s="5"/>
      <c r="F31" s="5"/>
      <c r="G31" s="5"/>
      <c r="H31" s="5"/>
    </row>
  </sheetData>
  <mergeCells count="31">
    <mergeCell ref="A31:H31"/>
    <mergeCell ref="A26:H26"/>
    <mergeCell ref="A27:H27"/>
    <mergeCell ref="A28:H28"/>
    <mergeCell ref="A29:H29"/>
    <mergeCell ref="A30:H30"/>
    <mergeCell ref="A21:H21"/>
    <mergeCell ref="A22:H22"/>
    <mergeCell ref="A23:H23"/>
    <mergeCell ref="A24:H24"/>
    <mergeCell ref="A25:H25"/>
    <mergeCell ref="A16:H16"/>
    <mergeCell ref="A17:H17"/>
    <mergeCell ref="A18:H18"/>
    <mergeCell ref="A19:H19"/>
    <mergeCell ref="A20:H20"/>
    <mergeCell ref="A11:H11"/>
    <mergeCell ref="A12:H12"/>
    <mergeCell ref="A13:H13"/>
    <mergeCell ref="A14:H14"/>
    <mergeCell ref="A15:H15"/>
    <mergeCell ref="A6:H6"/>
    <mergeCell ref="A7:H7"/>
    <mergeCell ref="A8:H8"/>
    <mergeCell ref="A9:H9"/>
    <mergeCell ref="A10:H10"/>
    <mergeCell ref="A1:H1"/>
    <mergeCell ref="A2:H2"/>
    <mergeCell ref="A3:H3"/>
    <mergeCell ref="A4:H4"/>
    <mergeCell ref="A5:H5"/>
  </mergeCells>
  <phoneticPr fontId="17"/>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42"/>
  <sheetViews>
    <sheetView zoomScale="119" zoomScaleNormal="40" workbookViewId="0">
      <pane ySplit="1" topLeftCell="A2" activePane="bottomLeft" state="frozen"/>
      <selection pane="bottomLeft" activeCell="S6" sqref="S6"/>
    </sheetView>
  </sheetViews>
  <sheetFormatPr defaultColWidth="8.54296875" defaultRowHeight="13"/>
  <cols>
    <col min="1" max="1" width="14" customWidth="1"/>
    <col min="2" max="2" width="16" customWidth="1"/>
    <col min="3" max="3" width="26" customWidth="1"/>
    <col min="4" max="4" width="46" customWidth="1"/>
    <col min="5" max="5" width="11" customWidth="1"/>
    <col min="6" max="6" width="30" customWidth="1"/>
    <col min="7" max="7" width="11.54296875" customWidth="1"/>
    <col min="8" max="8" width="30" style="20" customWidth="1"/>
    <col min="9" max="9" width="32" style="20" customWidth="1"/>
    <col min="10" max="10" width="50" style="20" customWidth="1"/>
    <col min="11" max="11" width="17.1796875" customWidth="1"/>
  </cols>
  <sheetData>
    <row r="1" spans="1:17" ht="30" customHeight="1">
      <c r="A1" s="21" t="s">
        <v>58</v>
      </c>
      <c r="B1" s="22" t="s">
        <v>59</v>
      </c>
      <c r="C1" s="22" t="s">
        <v>60</v>
      </c>
      <c r="D1" s="22" t="s">
        <v>61</v>
      </c>
      <c r="E1" s="22" t="s">
        <v>62</v>
      </c>
      <c r="F1" s="22" t="s">
        <v>63</v>
      </c>
      <c r="G1" s="22" t="s">
        <v>64</v>
      </c>
      <c r="H1" s="22" t="s">
        <v>65</v>
      </c>
      <c r="I1" s="23" t="s">
        <v>66</v>
      </c>
      <c r="J1" s="23" t="s">
        <v>67</v>
      </c>
      <c r="K1" s="22" t="s">
        <v>68</v>
      </c>
      <c r="L1" s="22" t="s">
        <v>69</v>
      </c>
      <c r="M1" s="22" t="s">
        <v>70</v>
      </c>
      <c r="N1" s="22" t="s">
        <v>71</v>
      </c>
      <c r="O1" s="22" t="s">
        <v>72</v>
      </c>
      <c r="P1" s="22" t="s">
        <v>73</v>
      </c>
      <c r="Q1" s="22" t="s">
        <v>74</v>
      </c>
    </row>
    <row r="2" spans="1:17" ht="26.25" customHeight="1">
      <c r="A2" s="24" t="s">
        <v>75</v>
      </c>
      <c r="B2" s="25" t="s">
        <v>76</v>
      </c>
      <c r="C2" s="26" t="s">
        <v>77</v>
      </c>
      <c r="D2" s="26" t="s">
        <v>78</v>
      </c>
      <c r="E2" s="27" t="s">
        <v>79</v>
      </c>
      <c r="F2" s="26" t="s">
        <v>80</v>
      </c>
      <c r="G2" s="25"/>
      <c r="H2" s="28" t="s">
        <v>81</v>
      </c>
      <c r="I2" s="29" t="s">
        <v>82</v>
      </c>
      <c r="J2" s="30" t="s">
        <v>83</v>
      </c>
      <c r="K2" s="25"/>
      <c r="L2" s="25"/>
      <c r="M2" s="25"/>
      <c r="N2" s="31" t="s">
        <v>84</v>
      </c>
      <c r="O2" s="25"/>
      <c r="P2" s="25"/>
      <c r="Q2" s="25"/>
    </row>
    <row r="3" spans="1:17" ht="26.25" customHeight="1">
      <c r="A3" s="24" t="s">
        <v>85</v>
      </c>
      <c r="B3" s="25" t="s">
        <v>76</v>
      </c>
      <c r="C3" s="26" t="s">
        <v>77</v>
      </c>
      <c r="D3" s="26" t="s">
        <v>86</v>
      </c>
      <c r="E3" s="27" t="s">
        <v>79</v>
      </c>
      <c r="F3" s="26" t="s">
        <v>80</v>
      </c>
      <c r="G3" s="25"/>
      <c r="H3" s="28" t="s">
        <v>81</v>
      </c>
      <c r="I3" s="29" t="s">
        <v>87</v>
      </c>
      <c r="J3" s="30" t="s">
        <v>83</v>
      </c>
      <c r="K3" s="25"/>
      <c r="L3" s="25"/>
      <c r="M3" s="25"/>
      <c r="N3" s="31" t="s">
        <v>84</v>
      </c>
      <c r="O3" s="25"/>
      <c r="P3" s="25"/>
      <c r="Q3" s="25"/>
    </row>
    <row r="4" spans="1:17" ht="26.25" customHeight="1">
      <c r="A4" s="24" t="s">
        <v>88</v>
      </c>
      <c r="B4" s="25" t="s">
        <v>76</v>
      </c>
      <c r="C4" s="26" t="s">
        <v>77</v>
      </c>
      <c r="D4" s="26" t="s">
        <v>89</v>
      </c>
      <c r="E4" s="27" t="s">
        <v>79</v>
      </c>
      <c r="F4" s="26" t="s">
        <v>80</v>
      </c>
      <c r="G4" s="25"/>
      <c r="H4" s="28" t="s">
        <v>81</v>
      </c>
      <c r="I4" s="29" t="s">
        <v>90</v>
      </c>
      <c r="J4" s="30" t="s">
        <v>91</v>
      </c>
      <c r="K4" s="25"/>
      <c r="L4" s="25"/>
      <c r="M4" s="25"/>
      <c r="N4" s="31" t="s">
        <v>84</v>
      </c>
      <c r="O4" s="25"/>
      <c r="P4" s="25"/>
      <c r="Q4" s="25"/>
    </row>
    <row r="5" spans="1:17" ht="39.75" customHeight="1">
      <c r="A5" s="24" t="s">
        <v>92</v>
      </c>
      <c r="B5" s="25" t="s">
        <v>76</v>
      </c>
      <c r="C5" s="26" t="s">
        <v>77</v>
      </c>
      <c r="D5" s="26" t="s">
        <v>93</v>
      </c>
      <c r="E5" s="27" t="s">
        <v>94</v>
      </c>
      <c r="F5" s="26" t="s">
        <v>95</v>
      </c>
      <c r="G5" s="25" t="s">
        <v>96</v>
      </c>
      <c r="H5" s="28" t="s">
        <v>81</v>
      </c>
      <c r="I5" s="29" t="s">
        <v>97</v>
      </c>
      <c r="J5" s="29" t="s">
        <v>98</v>
      </c>
      <c r="K5" s="25"/>
      <c r="L5" s="25"/>
      <c r="M5" s="25"/>
      <c r="N5" s="31" t="s">
        <v>84</v>
      </c>
      <c r="O5" s="25"/>
      <c r="P5" s="25"/>
      <c r="Q5" s="25"/>
    </row>
    <row r="6" spans="1:17" ht="39.75" customHeight="1">
      <c r="A6" s="24" t="s">
        <v>99</v>
      </c>
      <c r="B6" s="25" t="s">
        <v>76</v>
      </c>
      <c r="C6" s="26" t="s">
        <v>77</v>
      </c>
      <c r="D6" s="26" t="s">
        <v>100</v>
      </c>
      <c r="E6" s="27" t="s">
        <v>79</v>
      </c>
      <c r="F6" s="26" t="s">
        <v>101</v>
      </c>
      <c r="G6" s="25"/>
      <c r="H6" s="28" t="s">
        <v>81</v>
      </c>
      <c r="I6" s="29" t="s">
        <v>97</v>
      </c>
      <c r="J6" s="30" t="s">
        <v>102</v>
      </c>
      <c r="K6" s="25"/>
      <c r="L6" s="25"/>
      <c r="M6" s="25"/>
      <c r="N6" s="31" t="s">
        <v>84</v>
      </c>
      <c r="O6" s="25"/>
      <c r="P6" s="25"/>
      <c r="Q6" s="25"/>
    </row>
    <row r="7" spans="1:17" ht="39.75" customHeight="1">
      <c r="A7" s="24" t="s">
        <v>103</v>
      </c>
      <c r="B7" s="25" t="s">
        <v>76</v>
      </c>
      <c r="C7" s="26" t="s">
        <v>77</v>
      </c>
      <c r="D7" s="26" t="s">
        <v>104</v>
      </c>
      <c r="E7" s="27" t="s">
        <v>105</v>
      </c>
      <c r="F7" s="26" t="s">
        <v>106</v>
      </c>
      <c r="G7" s="25"/>
      <c r="H7" s="28" t="s">
        <v>81</v>
      </c>
      <c r="I7" s="29" t="s">
        <v>97</v>
      </c>
      <c r="J7" s="30" t="s">
        <v>107</v>
      </c>
      <c r="K7" s="25"/>
      <c r="L7" s="25"/>
      <c r="M7" s="25"/>
      <c r="N7" s="31" t="s">
        <v>84</v>
      </c>
      <c r="O7" s="25"/>
      <c r="P7" s="25"/>
      <c r="Q7" s="25"/>
    </row>
    <row r="8" spans="1:17" ht="39.75" customHeight="1">
      <c r="A8" s="24" t="s">
        <v>108</v>
      </c>
      <c r="B8" s="25" t="s">
        <v>76</v>
      </c>
      <c r="C8" s="26" t="s">
        <v>77</v>
      </c>
      <c r="D8" s="26" t="s">
        <v>109</v>
      </c>
      <c r="E8" s="27" t="s">
        <v>110</v>
      </c>
      <c r="F8" s="26" t="s">
        <v>111</v>
      </c>
      <c r="G8" s="25"/>
      <c r="H8" s="28" t="s">
        <v>81</v>
      </c>
      <c r="I8" s="29" t="s">
        <v>97</v>
      </c>
      <c r="J8" s="30" t="s">
        <v>112</v>
      </c>
      <c r="K8" s="25"/>
      <c r="L8" s="25"/>
      <c r="M8" s="25"/>
      <c r="N8" s="31" t="s">
        <v>84</v>
      </c>
      <c r="O8" s="25"/>
      <c r="P8" s="25"/>
      <c r="Q8" s="25"/>
    </row>
    <row r="9" spans="1:17" ht="53.25" customHeight="1">
      <c r="A9" s="24" t="s">
        <v>113</v>
      </c>
      <c r="B9" s="25" t="s">
        <v>76</v>
      </c>
      <c r="C9" s="26" t="s">
        <v>114</v>
      </c>
      <c r="D9" s="26" t="s">
        <v>104</v>
      </c>
      <c r="E9" s="27" t="s">
        <v>105</v>
      </c>
      <c r="F9" s="26" t="s">
        <v>106</v>
      </c>
      <c r="G9" s="25"/>
      <c r="H9" s="28" t="s">
        <v>115</v>
      </c>
      <c r="I9" s="29" t="s">
        <v>116</v>
      </c>
      <c r="J9" s="30" t="s">
        <v>117</v>
      </c>
      <c r="K9" s="25"/>
      <c r="L9" s="25"/>
      <c r="M9" s="25"/>
      <c r="N9" s="31" t="s">
        <v>84</v>
      </c>
      <c r="O9" s="25"/>
      <c r="P9" s="25"/>
      <c r="Q9" s="25"/>
    </row>
    <row r="10" spans="1:17" ht="53.25" customHeight="1">
      <c r="A10" s="24" t="s">
        <v>118</v>
      </c>
      <c r="B10" s="25" t="s">
        <v>76</v>
      </c>
      <c r="C10" s="26" t="s">
        <v>114</v>
      </c>
      <c r="D10" s="26" t="s">
        <v>109</v>
      </c>
      <c r="E10" s="27" t="s">
        <v>110</v>
      </c>
      <c r="F10" s="26" t="s">
        <v>119</v>
      </c>
      <c r="G10" s="25" t="s">
        <v>120</v>
      </c>
      <c r="H10" s="32" t="s">
        <v>115</v>
      </c>
      <c r="I10" s="33" t="s">
        <v>116</v>
      </c>
      <c r="J10" s="34" t="s">
        <v>121</v>
      </c>
      <c r="K10" s="25"/>
      <c r="L10" s="25"/>
      <c r="M10" s="25"/>
      <c r="N10" s="31" t="s">
        <v>84</v>
      </c>
      <c r="O10" s="25"/>
      <c r="P10" s="25"/>
      <c r="Q10" s="25"/>
    </row>
    <row r="11" spans="1:17" ht="53.25" customHeight="1">
      <c r="A11" s="24" t="s">
        <v>122</v>
      </c>
      <c r="B11" s="25" t="s">
        <v>76</v>
      </c>
      <c r="C11" s="26" t="s">
        <v>114</v>
      </c>
      <c r="D11" s="26" t="s">
        <v>123</v>
      </c>
      <c r="E11" s="27" t="s">
        <v>94</v>
      </c>
      <c r="F11" s="26" t="s">
        <v>95</v>
      </c>
      <c r="G11" s="25" t="s">
        <v>96</v>
      </c>
      <c r="H11" s="28" t="s">
        <v>115</v>
      </c>
      <c r="I11" s="29" t="s">
        <v>116</v>
      </c>
      <c r="J11" s="29" t="s">
        <v>124</v>
      </c>
      <c r="K11" s="25"/>
      <c r="L11" s="25"/>
      <c r="M11" s="25"/>
      <c r="N11" s="31" t="s">
        <v>84</v>
      </c>
      <c r="O11" s="25"/>
      <c r="P11" s="25"/>
      <c r="Q11" s="25"/>
    </row>
    <row r="12" spans="1:17" ht="66.75" customHeight="1">
      <c r="A12" s="24" t="s">
        <v>125</v>
      </c>
      <c r="B12" s="25" t="s">
        <v>76</v>
      </c>
      <c r="C12" s="26" t="s">
        <v>114</v>
      </c>
      <c r="D12" s="26" t="s">
        <v>126</v>
      </c>
      <c r="E12" s="27" t="s">
        <v>94</v>
      </c>
      <c r="F12" s="26" t="s">
        <v>127</v>
      </c>
      <c r="G12" s="26" t="s">
        <v>128</v>
      </c>
      <c r="H12" s="28" t="s">
        <v>115</v>
      </c>
      <c r="I12" s="29" t="s">
        <v>116</v>
      </c>
      <c r="J12" s="29" t="s">
        <v>129</v>
      </c>
      <c r="K12" s="25"/>
      <c r="L12" s="25"/>
      <c r="M12" s="25"/>
      <c r="N12" s="31" t="s">
        <v>84</v>
      </c>
      <c r="O12" s="25"/>
      <c r="P12" s="25"/>
      <c r="Q12" s="25"/>
    </row>
    <row r="13" spans="1:17" ht="53.25" customHeight="1">
      <c r="A13" s="24" t="s">
        <v>130</v>
      </c>
      <c r="B13" s="25" t="s">
        <v>76</v>
      </c>
      <c r="C13" s="26" t="s">
        <v>131</v>
      </c>
      <c r="D13" s="26" t="s">
        <v>132</v>
      </c>
      <c r="E13" s="27" t="s">
        <v>79</v>
      </c>
      <c r="F13" s="26" t="s">
        <v>133</v>
      </c>
      <c r="G13" s="25" t="s">
        <v>96</v>
      </c>
      <c r="H13" s="28" t="s">
        <v>134</v>
      </c>
      <c r="I13" s="29" t="s">
        <v>135</v>
      </c>
      <c r="J13" s="30" t="s">
        <v>136</v>
      </c>
      <c r="K13" s="25"/>
      <c r="L13" s="25"/>
      <c r="M13" s="25"/>
      <c r="N13" s="31" t="s">
        <v>84</v>
      </c>
      <c r="O13" s="25"/>
      <c r="P13" s="25"/>
      <c r="Q13" s="25"/>
    </row>
    <row r="14" spans="1:17" ht="39.75" customHeight="1">
      <c r="A14" s="24" t="s">
        <v>137</v>
      </c>
      <c r="B14" s="25" t="s">
        <v>76</v>
      </c>
      <c r="C14" s="26" t="s">
        <v>131</v>
      </c>
      <c r="D14" s="26" t="s">
        <v>138</v>
      </c>
      <c r="E14" s="27" t="s">
        <v>79</v>
      </c>
      <c r="F14" s="26" t="s">
        <v>133</v>
      </c>
      <c r="G14" s="25" t="s">
        <v>96</v>
      </c>
      <c r="H14" s="28" t="s">
        <v>139</v>
      </c>
      <c r="I14" s="29" t="s">
        <v>140</v>
      </c>
      <c r="J14" s="30" t="s">
        <v>141</v>
      </c>
      <c r="K14" s="25"/>
      <c r="L14" s="25"/>
      <c r="M14" s="25"/>
      <c r="N14" s="31" t="s">
        <v>84</v>
      </c>
      <c r="O14" s="25"/>
      <c r="P14" s="25"/>
      <c r="Q14" s="25"/>
    </row>
    <row r="15" spans="1:17" ht="39.75" customHeight="1">
      <c r="A15" s="24" t="s">
        <v>142</v>
      </c>
      <c r="B15" s="25" t="s">
        <v>76</v>
      </c>
      <c r="C15" s="26" t="s">
        <v>131</v>
      </c>
      <c r="D15" s="26" t="s">
        <v>143</v>
      </c>
      <c r="E15" s="27" t="s">
        <v>79</v>
      </c>
      <c r="F15" s="26" t="s">
        <v>133</v>
      </c>
      <c r="G15" s="25" t="s">
        <v>96</v>
      </c>
      <c r="H15" s="28" t="s">
        <v>144</v>
      </c>
      <c r="I15" s="29" t="s">
        <v>140</v>
      </c>
      <c r="J15" s="30" t="s">
        <v>145</v>
      </c>
      <c r="K15" s="25"/>
      <c r="L15" s="25"/>
      <c r="M15" s="25"/>
      <c r="N15" s="31" t="s">
        <v>84</v>
      </c>
      <c r="O15" s="25"/>
      <c r="P15" s="25"/>
      <c r="Q15" s="25"/>
    </row>
    <row r="16" spans="1:17" ht="53.25" customHeight="1">
      <c r="A16" s="24" t="s">
        <v>146</v>
      </c>
      <c r="B16" s="25" t="s">
        <v>76</v>
      </c>
      <c r="C16" s="26" t="s">
        <v>147</v>
      </c>
      <c r="D16" s="26" t="s">
        <v>148</v>
      </c>
      <c r="E16" s="27" t="s">
        <v>79</v>
      </c>
      <c r="F16" s="26" t="s">
        <v>149</v>
      </c>
      <c r="G16" s="25"/>
      <c r="H16" s="28" t="s">
        <v>150</v>
      </c>
      <c r="I16" s="29" t="s">
        <v>151</v>
      </c>
      <c r="J16" s="29" t="s">
        <v>152</v>
      </c>
      <c r="K16" s="25"/>
      <c r="L16" s="25"/>
      <c r="M16" s="25"/>
      <c r="N16" s="31" t="s">
        <v>84</v>
      </c>
      <c r="O16" s="25"/>
      <c r="P16" s="25"/>
      <c r="Q16" s="25"/>
    </row>
    <row r="17" spans="1:17" ht="79.5" customHeight="1">
      <c r="A17" s="24" t="s">
        <v>153</v>
      </c>
      <c r="B17" s="25" t="s">
        <v>76</v>
      </c>
      <c r="C17" s="26" t="s">
        <v>147</v>
      </c>
      <c r="D17" s="26" t="s">
        <v>154</v>
      </c>
      <c r="E17" s="35" t="s">
        <v>155</v>
      </c>
      <c r="F17" s="26" t="s">
        <v>156</v>
      </c>
      <c r="G17" s="25"/>
      <c r="H17" s="28" t="s">
        <v>150</v>
      </c>
      <c r="I17" s="29" t="s">
        <v>157</v>
      </c>
      <c r="J17" s="30" t="s">
        <v>158</v>
      </c>
      <c r="K17" s="25"/>
      <c r="L17" s="25"/>
      <c r="M17" s="25"/>
      <c r="N17" s="31" t="s">
        <v>84</v>
      </c>
      <c r="O17" s="25"/>
      <c r="P17" s="25"/>
      <c r="Q17" s="25"/>
    </row>
    <row r="18" spans="1:17" ht="39.75" customHeight="1">
      <c r="A18" s="24" t="s">
        <v>159</v>
      </c>
      <c r="B18" s="25" t="s">
        <v>76</v>
      </c>
      <c r="C18" s="26" t="s">
        <v>147</v>
      </c>
      <c r="D18" s="26" t="s">
        <v>160</v>
      </c>
      <c r="E18" s="27" t="s">
        <v>79</v>
      </c>
      <c r="F18" s="26" t="s">
        <v>149</v>
      </c>
      <c r="G18" s="25"/>
      <c r="H18" s="28" t="s">
        <v>150</v>
      </c>
      <c r="I18" s="29" t="s">
        <v>161</v>
      </c>
      <c r="J18" s="29" t="s">
        <v>162</v>
      </c>
      <c r="K18" s="25"/>
      <c r="L18" s="25"/>
      <c r="M18" s="25"/>
      <c r="N18" s="31" t="s">
        <v>84</v>
      </c>
      <c r="O18" s="25"/>
      <c r="P18" s="25"/>
      <c r="Q18" s="25"/>
    </row>
    <row r="19" spans="1:17" ht="26.25" customHeight="1">
      <c r="A19" s="24" t="s">
        <v>163</v>
      </c>
      <c r="B19" s="25" t="s">
        <v>76</v>
      </c>
      <c r="C19" s="26" t="s">
        <v>147</v>
      </c>
      <c r="D19" s="26" t="s">
        <v>164</v>
      </c>
      <c r="E19" s="35" t="s">
        <v>155</v>
      </c>
      <c r="F19" s="26" t="s">
        <v>156</v>
      </c>
      <c r="G19" s="25"/>
      <c r="H19" s="28" t="s">
        <v>150</v>
      </c>
      <c r="I19" s="29" t="s">
        <v>165</v>
      </c>
      <c r="J19" s="30" t="s">
        <v>166</v>
      </c>
      <c r="K19" s="25"/>
      <c r="L19" s="25"/>
      <c r="M19" s="25"/>
      <c r="N19" s="31" t="s">
        <v>84</v>
      </c>
      <c r="O19" s="25"/>
      <c r="P19" s="25"/>
      <c r="Q19" s="25"/>
    </row>
    <row r="20" spans="1:17" ht="26.25" customHeight="1">
      <c r="A20" s="24" t="s">
        <v>167</v>
      </c>
      <c r="B20" s="25" t="s">
        <v>76</v>
      </c>
      <c r="C20" s="26" t="s">
        <v>168</v>
      </c>
      <c r="D20" s="26" t="s">
        <v>169</v>
      </c>
      <c r="E20" s="27" t="s">
        <v>79</v>
      </c>
      <c r="F20" s="26" t="s">
        <v>170</v>
      </c>
      <c r="G20" s="25"/>
      <c r="H20" s="32" t="s">
        <v>171</v>
      </c>
      <c r="I20" s="33" t="s">
        <v>172</v>
      </c>
      <c r="J20" s="36" t="s">
        <v>173</v>
      </c>
      <c r="K20" s="26" t="s">
        <v>174</v>
      </c>
      <c r="L20" s="25"/>
      <c r="M20" s="25"/>
      <c r="N20" s="31" t="s">
        <v>84</v>
      </c>
      <c r="O20" s="25"/>
      <c r="P20" s="25"/>
      <c r="Q20" s="25"/>
    </row>
    <row r="21" spans="1:17" ht="26.25" customHeight="1">
      <c r="A21" s="24" t="s">
        <v>175</v>
      </c>
      <c r="B21" s="25" t="s">
        <v>76</v>
      </c>
      <c r="C21" s="26" t="s">
        <v>168</v>
      </c>
      <c r="D21" s="26" t="s">
        <v>176</v>
      </c>
      <c r="E21" s="27" t="s">
        <v>79</v>
      </c>
      <c r="F21" s="26" t="s">
        <v>170</v>
      </c>
      <c r="G21" s="25"/>
      <c r="H21" s="32" t="s">
        <v>171</v>
      </c>
      <c r="I21" s="33" t="s">
        <v>177</v>
      </c>
      <c r="J21" s="36" t="s">
        <v>178</v>
      </c>
      <c r="K21" s="26" t="s">
        <v>174</v>
      </c>
      <c r="L21" s="25"/>
      <c r="M21" s="25"/>
      <c r="N21" s="31" t="s">
        <v>84</v>
      </c>
      <c r="O21" s="25"/>
      <c r="P21" s="25"/>
      <c r="Q21" s="25"/>
    </row>
    <row r="22" spans="1:17" ht="66.75" customHeight="1">
      <c r="A22" s="24" t="s">
        <v>179</v>
      </c>
      <c r="B22" s="25" t="s">
        <v>76</v>
      </c>
      <c r="C22" s="26" t="s">
        <v>168</v>
      </c>
      <c r="D22" s="26" t="s">
        <v>180</v>
      </c>
      <c r="E22" s="27" t="s">
        <v>105</v>
      </c>
      <c r="F22" s="26" t="s">
        <v>106</v>
      </c>
      <c r="G22" s="25"/>
      <c r="H22" s="37" t="s">
        <v>181</v>
      </c>
      <c r="I22" s="38" t="s">
        <v>182</v>
      </c>
      <c r="J22" s="39" t="s">
        <v>183</v>
      </c>
      <c r="K22" s="25"/>
      <c r="L22" s="25"/>
      <c r="M22" s="25"/>
      <c r="N22" s="31" t="s">
        <v>84</v>
      </c>
      <c r="O22" s="25"/>
      <c r="P22" s="25"/>
      <c r="Q22" s="25"/>
    </row>
    <row r="23" spans="1:17" ht="53.25" customHeight="1">
      <c r="A23" s="24" t="s">
        <v>184</v>
      </c>
      <c r="B23" s="25" t="s">
        <v>76</v>
      </c>
      <c r="C23" s="26" t="s">
        <v>168</v>
      </c>
      <c r="D23" s="26" t="s">
        <v>185</v>
      </c>
      <c r="E23" s="27" t="s">
        <v>79</v>
      </c>
      <c r="F23" s="26" t="s">
        <v>101</v>
      </c>
      <c r="G23" s="25"/>
      <c r="H23" s="28" t="s">
        <v>186</v>
      </c>
      <c r="I23" s="29" t="s">
        <v>187</v>
      </c>
      <c r="J23" s="30" t="s">
        <v>188</v>
      </c>
      <c r="K23" s="25"/>
      <c r="L23" s="25"/>
      <c r="M23" s="25"/>
      <c r="N23" s="31" t="s">
        <v>84</v>
      </c>
      <c r="O23" s="25"/>
      <c r="P23" s="25"/>
      <c r="Q23" s="25"/>
    </row>
    <row r="24" spans="1:17" ht="53.25" customHeight="1">
      <c r="A24" s="24" t="s">
        <v>189</v>
      </c>
      <c r="B24" s="25" t="s">
        <v>76</v>
      </c>
      <c r="C24" s="26" t="s">
        <v>168</v>
      </c>
      <c r="D24" s="26" t="s">
        <v>190</v>
      </c>
      <c r="E24" s="27" t="s">
        <v>94</v>
      </c>
      <c r="F24" s="26" t="s">
        <v>191</v>
      </c>
      <c r="G24" s="25" t="s">
        <v>96</v>
      </c>
      <c r="H24" s="28" t="s">
        <v>186</v>
      </c>
      <c r="I24" s="29" t="s">
        <v>187</v>
      </c>
      <c r="J24" s="29" t="s">
        <v>192</v>
      </c>
      <c r="K24" s="25"/>
      <c r="L24" s="25"/>
      <c r="M24" s="25"/>
      <c r="N24" s="31" t="s">
        <v>84</v>
      </c>
      <c r="O24" s="25"/>
      <c r="P24" s="25"/>
      <c r="Q24" s="25"/>
    </row>
    <row r="25" spans="1:17" ht="26.25" customHeight="1">
      <c r="A25" s="24" t="s">
        <v>193</v>
      </c>
      <c r="B25" s="25" t="s">
        <v>76</v>
      </c>
      <c r="C25" s="26" t="s">
        <v>168</v>
      </c>
      <c r="D25" s="26" t="s">
        <v>194</v>
      </c>
      <c r="E25" s="35" t="s">
        <v>79</v>
      </c>
      <c r="F25" s="26" t="s">
        <v>170</v>
      </c>
      <c r="G25" s="25"/>
      <c r="H25" s="37" t="s">
        <v>195</v>
      </c>
      <c r="I25" s="38" t="s">
        <v>196</v>
      </c>
      <c r="J25" s="39" t="s">
        <v>197</v>
      </c>
      <c r="K25" s="25"/>
      <c r="L25" s="25"/>
      <c r="M25" s="25"/>
      <c r="N25" s="31" t="s">
        <v>84</v>
      </c>
      <c r="O25" s="25"/>
      <c r="P25" s="25"/>
      <c r="Q25" s="25"/>
    </row>
    <row r="26" spans="1:17" ht="39.75" customHeight="1">
      <c r="A26" s="40" t="s">
        <v>198</v>
      </c>
      <c r="B26" s="41" t="s">
        <v>76</v>
      </c>
      <c r="C26" s="42" t="s">
        <v>168</v>
      </c>
      <c r="D26" s="41" t="s">
        <v>199</v>
      </c>
      <c r="E26" s="43" t="s">
        <v>79</v>
      </c>
      <c r="F26" s="42" t="s">
        <v>101</v>
      </c>
      <c r="G26" s="41"/>
      <c r="H26" s="44" t="s">
        <v>200</v>
      </c>
      <c r="I26" s="45" t="s">
        <v>201</v>
      </c>
      <c r="J26" s="46" t="s">
        <v>202</v>
      </c>
      <c r="K26" s="47"/>
      <c r="L26" s="25"/>
      <c r="M26" s="25"/>
      <c r="N26" s="31" t="s">
        <v>84</v>
      </c>
      <c r="O26" s="25"/>
      <c r="P26" s="25"/>
      <c r="Q26" s="25"/>
    </row>
    <row r="27" spans="1:17" ht="26.25" customHeight="1">
      <c r="A27" s="40" t="s">
        <v>203</v>
      </c>
      <c r="B27" s="41" t="s">
        <v>76</v>
      </c>
      <c r="C27" s="42" t="s">
        <v>168</v>
      </c>
      <c r="D27" s="41" t="s">
        <v>204</v>
      </c>
      <c r="E27" s="43" t="s">
        <v>94</v>
      </c>
      <c r="F27" s="42" t="s">
        <v>95</v>
      </c>
      <c r="G27" s="41" t="s">
        <v>96</v>
      </c>
      <c r="H27" s="44" t="s">
        <v>200</v>
      </c>
      <c r="I27" s="45" t="s">
        <v>201</v>
      </c>
      <c r="J27" s="45" t="s">
        <v>205</v>
      </c>
      <c r="K27" s="47"/>
      <c r="L27" s="25"/>
      <c r="M27" s="25"/>
      <c r="N27" s="31" t="s">
        <v>84</v>
      </c>
      <c r="O27" s="25"/>
      <c r="P27" s="25"/>
      <c r="Q27" s="25"/>
    </row>
    <row r="28" spans="1:17" ht="26.25" customHeight="1">
      <c r="A28" s="24" t="s">
        <v>206</v>
      </c>
      <c r="B28" s="25" t="s">
        <v>76</v>
      </c>
      <c r="C28" s="26" t="s">
        <v>207</v>
      </c>
      <c r="D28" s="26" t="s">
        <v>78</v>
      </c>
      <c r="E28" s="27" t="s">
        <v>79</v>
      </c>
      <c r="F28" s="26" t="s">
        <v>208</v>
      </c>
      <c r="G28" s="25"/>
      <c r="H28" s="28" t="s">
        <v>209</v>
      </c>
      <c r="I28" s="29" t="s">
        <v>82</v>
      </c>
      <c r="J28" s="30" t="s">
        <v>210</v>
      </c>
      <c r="K28" s="25"/>
      <c r="L28" s="25"/>
      <c r="M28" s="25"/>
      <c r="N28" s="31" t="s">
        <v>84</v>
      </c>
      <c r="O28" s="25"/>
      <c r="P28" s="25"/>
      <c r="Q28" s="25"/>
    </row>
    <row r="29" spans="1:17" ht="26.25" customHeight="1">
      <c r="A29" s="24" t="s">
        <v>211</v>
      </c>
      <c r="B29" s="25" t="s">
        <v>76</v>
      </c>
      <c r="C29" s="26" t="s">
        <v>207</v>
      </c>
      <c r="D29" s="26" t="s">
        <v>86</v>
      </c>
      <c r="E29" s="27" t="s">
        <v>79</v>
      </c>
      <c r="F29" s="26" t="s">
        <v>208</v>
      </c>
      <c r="G29" s="25"/>
      <c r="H29" s="37" t="s">
        <v>212</v>
      </c>
      <c r="I29" s="38" t="s">
        <v>213</v>
      </c>
      <c r="J29" s="39" t="s">
        <v>214</v>
      </c>
      <c r="K29" s="47"/>
      <c r="L29" s="25"/>
      <c r="M29" s="25"/>
      <c r="N29" s="31" t="s">
        <v>84</v>
      </c>
      <c r="O29" s="25"/>
      <c r="P29" s="25"/>
      <c r="Q29" s="25"/>
    </row>
    <row r="30" spans="1:17" ht="53.25" customHeight="1">
      <c r="A30" s="24" t="s">
        <v>215</v>
      </c>
      <c r="B30" s="25" t="s">
        <v>76</v>
      </c>
      <c r="C30" s="26" t="s">
        <v>207</v>
      </c>
      <c r="D30" s="26" t="s">
        <v>89</v>
      </c>
      <c r="E30" s="27" t="s">
        <v>79</v>
      </c>
      <c r="F30" s="26" t="s">
        <v>208</v>
      </c>
      <c r="G30" s="25"/>
      <c r="H30" s="28" t="s">
        <v>209</v>
      </c>
      <c r="I30" s="29" t="s">
        <v>90</v>
      </c>
      <c r="J30" s="30" t="s">
        <v>216</v>
      </c>
      <c r="K30" s="25"/>
      <c r="L30" s="25"/>
      <c r="M30" s="25"/>
      <c r="N30" s="31" t="s">
        <v>84</v>
      </c>
      <c r="O30" s="25"/>
      <c r="P30" s="25"/>
      <c r="Q30" s="25"/>
    </row>
    <row r="31" spans="1:17" ht="53.25" customHeight="1">
      <c r="A31" s="24" t="s">
        <v>217</v>
      </c>
      <c r="B31" s="25" t="s">
        <v>76</v>
      </c>
      <c r="C31" s="26" t="s">
        <v>207</v>
      </c>
      <c r="D31" s="26" t="s">
        <v>218</v>
      </c>
      <c r="E31" s="27" t="s">
        <v>110</v>
      </c>
      <c r="F31" s="26" t="s">
        <v>219</v>
      </c>
      <c r="G31" s="25"/>
      <c r="H31" s="37" t="s">
        <v>212</v>
      </c>
      <c r="I31" s="38" t="s">
        <v>220</v>
      </c>
      <c r="J31" s="39" t="s">
        <v>221</v>
      </c>
      <c r="K31" s="25"/>
      <c r="L31" s="25"/>
      <c r="M31" s="25"/>
      <c r="N31" s="31" t="s">
        <v>84</v>
      </c>
      <c r="O31" s="25"/>
      <c r="P31" s="25"/>
      <c r="Q31" s="25"/>
    </row>
    <row r="32" spans="1:17" ht="26.25" customHeight="1">
      <c r="A32" s="24" t="s">
        <v>222</v>
      </c>
      <c r="B32" s="25" t="s">
        <v>76</v>
      </c>
      <c r="C32" s="26" t="s">
        <v>207</v>
      </c>
      <c r="D32" s="26" t="s">
        <v>93</v>
      </c>
      <c r="E32" s="27" t="s">
        <v>94</v>
      </c>
      <c r="F32" s="26" t="s">
        <v>191</v>
      </c>
      <c r="G32" s="25" t="s">
        <v>96</v>
      </c>
      <c r="H32" s="28" t="s">
        <v>212</v>
      </c>
      <c r="I32" s="29" t="s">
        <v>223</v>
      </c>
      <c r="J32" s="29" t="s">
        <v>224</v>
      </c>
      <c r="K32" s="25"/>
      <c r="L32" s="25"/>
      <c r="M32" s="25"/>
      <c r="N32" s="31" t="s">
        <v>84</v>
      </c>
      <c r="O32" s="25"/>
      <c r="P32" s="25"/>
      <c r="Q32" s="25"/>
    </row>
    <row r="33" spans="1:17" ht="53.25" customHeight="1">
      <c r="A33" s="24" t="s">
        <v>225</v>
      </c>
      <c r="B33" s="25" t="s">
        <v>76</v>
      </c>
      <c r="C33" s="26" t="s">
        <v>207</v>
      </c>
      <c r="D33" s="26" t="s">
        <v>100</v>
      </c>
      <c r="E33" s="27" t="s">
        <v>79</v>
      </c>
      <c r="F33" s="26" t="s">
        <v>226</v>
      </c>
      <c r="G33" s="25"/>
      <c r="H33" s="28" t="s">
        <v>212</v>
      </c>
      <c r="I33" s="29" t="s">
        <v>223</v>
      </c>
      <c r="J33" s="30" t="s">
        <v>227</v>
      </c>
      <c r="K33" s="25"/>
      <c r="L33" s="25"/>
      <c r="M33" s="25"/>
      <c r="N33" s="31" t="s">
        <v>84</v>
      </c>
      <c r="O33" s="25"/>
      <c r="P33" s="25"/>
      <c r="Q33" s="25"/>
    </row>
    <row r="34" spans="1:17" ht="26.25" customHeight="1">
      <c r="A34" s="24" t="s">
        <v>228</v>
      </c>
      <c r="B34" s="25" t="s">
        <v>76</v>
      </c>
      <c r="C34" s="26" t="s">
        <v>207</v>
      </c>
      <c r="D34" s="26" t="s">
        <v>104</v>
      </c>
      <c r="E34" s="27" t="s">
        <v>105</v>
      </c>
      <c r="F34" s="26" t="s">
        <v>106</v>
      </c>
      <c r="G34" s="25"/>
      <c r="H34" s="37" t="s">
        <v>212</v>
      </c>
      <c r="I34" s="38" t="s">
        <v>229</v>
      </c>
      <c r="J34" s="39" t="s">
        <v>230</v>
      </c>
      <c r="K34" s="25"/>
      <c r="L34" s="25"/>
      <c r="M34" s="25"/>
      <c r="N34" s="31" t="s">
        <v>84</v>
      </c>
      <c r="O34" s="25"/>
      <c r="P34" s="25"/>
      <c r="Q34" s="25"/>
    </row>
    <row r="35" spans="1:17" ht="39.75" customHeight="1">
      <c r="A35" s="24" t="s">
        <v>231</v>
      </c>
      <c r="B35" s="25" t="s">
        <v>76</v>
      </c>
      <c r="C35" s="26" t="s">
        <v>207</v>
      </c>
      <c r="D35" s="26" t="s">
        <v>109</v>
      </c>
      <c r="E35" s="27" t="s">
        <v>110</v>
      </c>
      <c r="F35" s="26" t="s">
        <v>232</v>
      </c>
      <c r="G35" s="25"/>
      <c r="H35" s="28" t="s">
        <v>212</v>
      </c>
      <c r="I35" s="29" t="s">
        <v>223</v>
      </c>
      <c r="J35" s="30" t="s">
        <v>233</v>
      </c>
      <c r="K35" s="25"/>
      <c r="L35" s="25"/>
      <c r="M35" s="25"/>
      <c r="N35" s="31" t="s">
        <v>84</v>
      </c>
      <c r="O35" s="25"/>
      <c r="P35" s="25"/>
      <c r="Q35" s="25"/>
    </row>
    <row r="36" spans="1:17" ht="26.25" customHeight="1">
      <c r="A36" s="24" t="s">
        <v>234</v>
      </c>
      <c r="B36" s="25" t="s">
        <v>235</v>
      </c>
      <c r="C36" s="26" t="s">
        <v>236</v>
      </c>
      <c r="D36" s="26" t="s">
        <v>237</v>
      </c>
      <c r="E36" s="27" t="s">
        <v>79</v>
      </c>
      <c r="F36" s="26" t="s">
        <v>238</v>
      </c>
      <c r="G36" s="25"/>
      <c r="H36" s="37" t="s">
        <v>239</v>
      </c>
      <c r="I36" s="38" t="s">
        <v>240</v>
      </c>
      <c r="J36" s="39" t="s">
        <v>241</v>
      </c>
      <c r="K36" s="25"/>
      <c r="L36" s="25"/>
      <c r="M36" s="25"/>
      <c r="N36" s="31" t="s">
        <v>84</v>
      </c>
      <c r="O36" s="25"/>
      <c r="P36" s="25"/>
      <c r="Q36" s="25"/>
    </row>
    <row r="37" spans="1:17" ht="39.75" customHeight="1">
      <c r="A37" s="24" t="s">
        <v>242</v>
      </c>
      <c r="B37" s="25" t="s">
        <v>235</v>
      </c>
      <c r="C37" s="26" t="s">
        <v>236</v>
      </c>
      <c r="D37" s="26" t="s">
        <v>86</v>
      </c>
      <c r="E37" s="27" t="s">
        <v>79</v>
      </c>
      <c r="F37" s="26" t="s">
        <v>238</v>
      </c>
      <c r="G37" s="25"/>
      <c r="H37" s="28" t="s">
        <v>239</v>
      </c>
      <c r="I37" s="29" t="s">
        <v>213</v>
      </c>
      <c r="J37" s="30" t="s">
        <v>243</v>
      </c>
      <c r="K37" s="25"/>
      <c r="L37" s="25"/>
      <c r="M37" s="25"/>
      <c r="N37" s="31" t="s">
        <v>84</v>
      </c>
      <c r="O37" s="25"/>
      <c r="P37" s="25"/>
      <c r="Q37" s="25"/>
    </row>
    <row r="38" spans="1:17" ht="39.75" customHeight="1">
      <c r="A38" s="24" t="s">
        <v>244</v>
      </c>
      <c r="B38" s="25" t="s">
        <v>235</v>
      </c>
      <c r="C38" s="26" t="s">
        <v>236</v>
      </c>
      <c r="D38" s="26" t="s">
        <v>245</v>
      </c>
      <c r="E38" s="27" t="s">
        <v>79</v>
      </c>
      <c r="F38" s="26" t="s">
        <v>238</v>
      </c>
      <c r="G38" s="25"/>
      <c r="H38" s="32" t="s">
        <v>239</v>
      </c>
      <c r="I38" s="33" t="s">
        <v>246</v>
      </c>
      <c r="J38" s="36" t="s">
        <v>247</v>
      </c>
      <c r="K38" s="48" t="s">
        <v>248</v>
      </c>
      <c r="L38" s="25"/>
      <c r="M38" s="25"/>
      <c r="N38" s="31" t="s">
        <v>84</v>
      </c>
      <c r="O38" s="25"/>
      <c r="P38" s="25"/>
      <c r="Q38" s="25"/>
    </row>
    <row r="39" spans="1:17" ht="26.25" customHeight="1">
      <c r="A39" s="24" t="s">
        <v>249</v>
      </c>
      <c r="B39" s="25" t="s">
        <v>235</v>
      </c>
      <c r="C39" s="26" t="s">
        <v>236</v>
      </c>
      <c r="D39" s="26" t="s">
        <v>250</v>
      </c>
      <c r="E39" s="27" t="s">
        <v>94</v>
      </c>
      <c r="F39" s="26" t="s">
        <v>251</v>
      </c>
      <c r="G39" s="25" t="s">
        <v>252</v>
      </c>
      <c r="H39" s="28" t="s">
        <v>239</v>
      </c>
      <c r="I39" s="29" t="s">
        <v>253</v>
      </c>
      <c r="J39" s="29" t="s">
        <v>254</v>
      </c>
      <c r="K39" s="25"/>
      <c r="L39" s="25"/>
      <c r="M39" s="25"/>
      <c r="N39" s="31" t="s">
        <v>84</v>
      </c>
      <c r="O39" s="25"/>
      <c r="P39" s="25"/>
      <c r="Q39" s="25"/>
    </row>
    <row r="40" spans="1:17" ht="53.25" customHeight="1">
      <c r="A40" s="24" t="s">
        <v>255</v>
      </c>
      <c r="B40" s="25" t="s">
        <v>235</v>
      </c>
      <c r="C40" s="26" t="s">
        <v>236</v>
      </c>
      <c r="D40" s="26" t="s">
        <v>100</v>
      </c>
      <c r="E40" s="27" t="s">
        <v>79</v>
      </c>
      <c r="F40" s="26" t="s">
        <v>101</v>
      </c>
      <c r="G40" s="25"/>
      <c r="H40" s="28" t="s">
        <v>239</v>
      </c>
      <c r="I40" s="29" t="s">
        <v>253</v>
      </c>
      <c r="J40" s="30" t="s">
        <v>256</v>
      </c>
      <c r="K40" s="25"/>
      <c r="L40" s="25"/>
      <c r="M40" s="25"/>
      <c r="N40" s="31" t="s">
        <v>84</v>
      </c>
      <c r="O40" s="25"/>
      <c r="P40" s="25"/>
      <c r="Q40" s="25"/>
    </row>
    <row r="41" spans="1:17" ht="26.25" customHeight="1">
      <c r="A41" s="24" t="s">
        <v>257</v>
      </c>
      <c r="B41" s="25" t="s">
        <v>235</v>
      </c>
      <c r="C41" s="26" t="s">
        <v>236</v>
      </c>
      <c r="D41" s="26" t="s">
        <v>104</v>
      </c>
      <c r="E41" s="27" t="s">
        <v>105</v>
      </c>
      <c r="F41" s="26" t="s">
        <v>106</v>
      </c>
      <c r="G41" s="25"/>
      <c r="H41" s="37" t="s">
        <v>239</v>
      </c>
      <c r="I41" s="38" t="s">
        <v>258</v>
      </c>
      <c r="J41" s="39" t="s">
        <v>230</v>
      </c>
      <c r="K41" s="25"/>
      <c r="L41" s="25"/>
      <c r="M41" s="25"/>
      <c r="N41" s="31" t="s">
        <v>84</v>
      </c>
      <c r="O41" s="25"/>
      <c r="P41" s="25"/>
      <c r="Q41" s="25"/>
    </row>
    <row r="42" spans="1:17" ht="26.25" customHeight="1">
      <c r="A42" s="24" t="s">
        <v>259</v>
      </c>
      <c r="B42" s="25" t="s">
        <v>235</v>
      </c>
      <c r="C42" s="26" t="s">
        <v>236</v>
      </c>
      <c r="D42" s="26" t="s">
        <v>109</v>
      </c>
      <c r="E42" s="27" t="s">
        <v>110</v>
      </c>
      <c r="F42" s="26" t="s">
        <v>111</v>
      </c>
      <c r="G42" s="25"/>
      <c r="H42" s="28" t="s">
        <v>239</v>
      </c>
      <c r="I42" s="29" t="s">
        <v>253</v>
      </c>
      <c r="J42" s="30" t="s">
        <v>260</v>
      </c>
      <c r="K42" s="25"/>
      <c r="L42" s="25"/>
      <c r="M42" s="25"/>
      <c r="N42" s="31" t="s">
        <v>84</v>
      </c>
      <c r="O42" s="25"/>
      <c r="P42" s="25"/>
      <c r="Q42" s="25"/>
    </row>
    <row r="43" spans="1:17" ht="26.25" customHeight="1">
      <c r="A43" s="24" t="s">
        <v>261</v>
      </c>
      <c r="B43" s="25" t="s">
        <v>262</v>
      </c>
      <c r="C43" s="26" t="s">
        <v>263</v>
      </c>
      <c r="D43" s="26" t="s">
        <v>264</v>
      </c>
      <c r="E43" s="27" t="s">
        <v>79</v>
      </c>
      <c r="F43" s="26" t="s">
        <v>101</v>
      </c>
      <c r="G43" s="25"/>
      <c r="H43" s="37" t="s">
        <v>265</v>
      </c>
      <c r="I43" s="38" t="s">
        <v>266</v>
      </c>
      <c r="J43" s="38" t="s">
        <v>267</v>
      </c>
      <c r="K43" s="25"/>
      <c r="L43" s="25"/>
      <c r="M43" s="25"/>
      <c r="N43" s="31" t="s">
        <v>84</v>
      </c>
      <c r="O43" s="25"/>
      <c r="P43" s="25"/>
      <c r="Q43" s="25"/>
    </row>
    <row r="44" spans="1:17" ht="26.25" customHeight="1">
      <c r="A44" s="24" t="s">
        <v>268</v>
      </c>
      <c r="B44" s="25" t="s">
        <v>262</v>
      </c>
      <c r="C44" s="26" t="s">
        <v>263</v>
      </c>
      <c r="D44" s="26" t="s">
        <v>269</v>
      </c>
      <c r="E44" s="27" t="s">
        <v>79</v>
      </c>
      <c r="F44" s="26" t="s">
        <v>270</v>
      </c>
      <c r="G44" s="25"/>
      <c r="H44" s="37" t="s">
        <v>265</v>
      </c>
      <c r="I44" s="38" t="s">
        <v>266</v>
      </c>
      <c r="J44" s="39" t="s">
        <v>271</v>
      </c>
      <c r="K44" s="25"/>
      <c r="L44" s="25"/>
      <c r="M44" s="25"/>
      <c r="N44" s="31" t="s">
        <v>84</v>
      </c>
      <c r="O44" s="25"/>
      <c r="P44" s="25"/>
      <c r="Q44" s="25"/>
    </row>
    <row r="45" spans="1:17" ht="26.25" customHeight="1">
      <c r="A45" s="24" t="s">
        <v>272</v>
      </c>
      <c r="B45" s="25" t="s">
        <v>262</v>
      </c>
      <c r="C45" s="26" t="s">
        <v>273</v>
      </c>
      <c r="D45" s="26" t="s">
        <v>264</v>
      </c>
      <c r="E45" s="27" t="s">
        <v>79</v>
      </c>
      <c r="F45" s="26" t="s">
        <v>101</v>
      </c>
      <c r="G45" s="25"/>
      <c r="H45" s="37" t="s">
        <v>265</v>
      </c>
      <c r="I45" s="38" t="s">
        <v>274</v>
      </c>
      <c r="J45" s="39" t="s">
        <v>275</v>
      </c>
      <c r="K45" s="25"/>
      <c r="L45" s="25"/>
      <c r="M45" s="25"/>
      <c r="N45" s="31" t="s">
        <v>84</v>
      </c>
      <c r="O45" s="25"/>
      <c r="P45" s="25"/>
      <c r="Q45" s="25"/>
    </row>
    <row r="46" spans="1:17" ht="26.25" customHeight="1">
      <c r="A46" s="24" t="s">
        <v>276</v>
      </c>
      <c r="B46" s="25" t="s">
        <v>262</v>
      </c>
      <c r="C46" s="26" t="s">
        <v>273</v>
      </c>
      <c r="D46" s="26" t="s">
        <v>269</v>
      </c>
      <c r="E46" s="27" t="s">
        <v>79</v>
      </c>
      <c r="F46" s="26" t="s">
        <v>270</v>
      </c>
      <c r="G46" s="25"/>
      <c r="H46" s="37" t="s">
        <v>265</v>
      </c>
      <c r="I46" s="38" t="s">
        <v>274</v>
      </c>
      <c r="J46" s="39" t="s">
        <v>277</v>
      </c>
      <c r="K46" s="25"/>
      <c r="L46" s="25"/>
      <c r="M46" s="25"/>
      <c r="N46" s="31" t="s">
        <v>84</v>
      </c>
      <c r="O46" s="25"/>
      <c r="P46" s="25"/>
      <c r="Q46" s="25"/>
    </row>
    <row r="47" spans="1:17" ht="26.25" customHeight="1">
      <c r="A47" s="24" t="s">
        <v>278</v>
      </c>
      <c r="B47" s="25" t="s">
        <v>262</v>
      </c>
      <c r="C47" s="25" t="s">
        <v>279</v>
      </c>
      <c r="D47" s="26" t="s">
        <v>264</v>
      </c>
      <c r="E47" s="27" t="s">
        <v>79</v>
      </c>
      <c r="F47" s="26" t="s">
        <v>101</v>
      </c>
      <c r="G47" s="25"/>
      <c r="H47" s="37" t="s">
        <v>265</v>
      </c>
      <c r="I47" s="38" t="s">
        <v>280</v>
      </c>
      <c r="J47" s="38" t="s">
        <v>281</v>
      </c>
      <c r="K47" s="25"/>
      <c r="L47" s="25"/>
      <c r="M47" s="25"/>
      <c r="N47" s="31" t="s">
        <v>84</v>
      </c>
      <c r="O47" s="25"/>
      <c r="P47" s="25"/>
      <c r="Q47" s="25"/>
    </row>
    <row r="48" spans="1:17" ht="26.25" customHeight="1">
      <c r="A48" s="24" t="s">
        <v>282</v>
      </c>
      <c r="B48" s="25" t="s">
        <v>262</v>
      </c>
      <c r="C48" s="25" t="s">
        <v>279</v>
      </c>
      <c r="D48" s="26" t="s">
        <v>269</v>
      </c>
      <c r="E48" s="27" t="s">
        <v>79</v>
      </c>
      <c r="F48" s="26" t="s">
        <v>270</v>
      </c>
      <c r="G48" s="25"/>
      <c r="H48" s="37" t="s">
        <v>265</v>
      </c>
      <c r="I48" s="38" t="s">
        <v>280</v>
      </c>
      <c r="J48" s="39" t="s">
        <v>283</v>
      </c>
      <c r="K48" s="25"/>
      <c r="L48" s="25"/>
      <c r="M48" s="25"/>
      <c r="N48" s="31" t="s">
        <v>84</v>
      </c>
      <c r="O48" s="25"/>
      <c r="P48" s="25"/>
      <c r="Q48" s="25"/>
    </row>
    <row r="49" spans="1:17" ht="26.25" customHeight="1">
      <c r="A49" s="24" t="s">
        <v>284</v>
      </c>
      <c r="B49" s="25" t="s">
        <v>262</v>
      </c>
      <c r="C49" s="25" t="s">
        <v>285</v>
      </c>
      <c r="D49" s="26" t="s">
        <v>264</v>
      </c>
      <c r="E49" s="27" t="s">
        <v>79</v>
      </c>
      <c r="F49" s="26" t="s">
        <v>101</v>
      </c>
      <c r="G49" s="25"/>
      <c r="H49" s="37" t="s">
        <v>265</v>
      </c>
      <c r="I49" s="38" t="s">
        <v>286</v>
      </c>
      <c r="J49" s="38" t="s">
        <v>287</v>
      </c>
      <c r="K49" s="25"/>
      <c r="L49" s="25"/>
      <c r="M49" s="25"/>
      <c r="N49" s="31" t="s">
        <v>84</v>
      </c>
      <c r="O49" s="25"/>
      <c r="P49" s="25"/>
      <c r="Q49" s="25"/>
    </row>
    <row r="50" spans="1:17" ht="26.25" customHeight="1">
      <c r="A50" s="24" t="s">
        <v>288</v>
      </c>
      <c r="B50" s="25" t="s">
        <v>262</v>
      </c>
      <c r="C50" s="25" t="s">
        <v>285</v>
      </c>
      <c r="D50" s="26" t="s">
        <v>269</v>
      </c>
      <c r="E50" s="27" t="s">
        <v>79</v>
      </c>
      <c r="F50" s="26" t="s">
        <v>270</v>
      </c>
      <c r="G50" s="25"/>
      <c r="H50" s="37" t="s">
        <v>265</v>
      </c>
      <c r="I50" s="38" t="s">
        <v>286</v>
      </c>
      <c r="J50" s="39" t="s">
        <v>289</v>
      </c>
      <c r="K50" s="25"/>
      <c r="L50" s="25"/>
      <c r="M50" s="25"/>
      <c r="N50" s="31" t="s">
        <v>84</v>
      </c>
      <c r="O50" s="25"/>
      <c r="P50" s="25"/>
      <c r="Q50" s="25"/>
    </row>
    <row r="51" spans="1:17" ht="26.25" customHeight="1">
      <c r="A51" s="24" t="s">
        <v>290</v>
      </c>
      <c r="B51" s="25" t="s">
        <v>262</v>
      </c>
      <c r="C51" s="26" t="s">
        <v>291</v>
      </c>
      <c r="D51" s="26" t="s">
        <v>292</v>
      </c>
      <c r="E51" s="27" t="s">
        <v>105</v>
      </c>
      <c r="F51" s="26" t="s">
        <v>101</v>
      </c>
      <c r="G51" s="25"/>
      <c r="H51" s="37" t="s">
        <v>293</v>
      </c>
      <c r="I51" s="38" t="s">
        <v>294</v>
      </c>
      <c r="J51" s="39" t="s">
        <v>295</v>
      </c>
      <c r="K51" s="25"/>
      <c r="L51" s="25"/>
      <c r="M51" s="25"/>
      <c r="N51" s="31" t="s">
        <v>84</v>
      </c>
      <c r="O51" s="25"/>
      <c r="P51" s="25"/>
      <c r="Q51" s="25"/>
    </row>
    <row r="52" spans="1:17" ht="26.25" customHeight="1">
      <c r="A52" s="40" t="s">
        <v>296</v>
      </c>
      <c r="B52" s="41" t="s">
        <v>262</v>
      </c>
      <c r="C52" s="42" t="s">
        <v>291</v>
      </c>
      <c r="D52" s="42" t="s">
        <v>297</v>
      </c>
      <c r="E52" s="43" t="s">
        <v>79</v>
      </c>
      <c r="F52" s="42" t="s">
        <v>101</v>
      </c>
      <c r="G52" s="41"/>
      <c r="H52" s="44" t="s">
        <v>293</v>
      </c>
      <c r="I52" s="45" t="s">
        <v>298</v>
      </c>
      <c r="J52" s="46" t="s">
        <v>299</v>
      </c>
      <c r="K52" s="47"/>
      <c r="L52" s="25"/>
      <c r="M52" s="25"/>
      <c r="N52" s="31" t="s">
        <v>84</v>
      </c>
      <c r="O52" s="25"/>
      <c r="P52" s="25"/>
      <c r="Q52" s="25"/>
    </row>
    <row r="53" spans="1:17" ht="26.25" customHeight="1">
      <c r="A53" s="24" t="s">
        <v>300</v>
      </c>
      <c r="B53" s="25" t="s">
        <v>262</v>
      </c>
      <c r="C53" s="26" t="s">
        <v>301</v>
      </c>
      <c r="D53" s="26" t="s">
        <v>302</v>
      </c>
      <c r="E53" s="27" t="s">
        <v>105</v>
      </c>
      <c r="F53" s="26" t="s">
        <v>303</v>
      </c>
      <c r="G53" s="25"/>
      <c r="H53" s="37" t="s">
        <v>304</v>
      </c>
      <c r="I53" s="38" t="s">
        <v>305</v>
      </c>
      <c r="J53" s="39" t="s">
        <v>306</v>
      </c>
      <c r="K53" s="25"/>
      <c r="L53" s="25"/>
      <c r="M53" s="25"/>
      <c r="N53" s="31" t="s">
        <v>84</v>
      </c>
      <c r="O53" s="25"/>
      <c r="P53" s="25"/>
      <c r="Q53" s="25"/>
    </row>
    <row r="54" spans="1:17" ht="26.25" customHeight="1">
      <c r="A54" s="24" t="s">
        <v>307</v>
      </c>
      <c r="B54" s="25" t="s">
        <v>262</v>
      </c>
      <c r="C54" s="26" t="s">
        <v>301</v>
      </c>
      <c r="D54" s="26" t="s">
        <v>308</v>
      </c>
      <c r="E54" s="27" t="s">
        <v>105</v>
      </c>
      <c r="F54" s="26" t="s">
        <v>303</v>
      </c>
      <c r="G54" s="25"/>
      <c r="H54" s="37" t="s">
        <v>309</v>
      </c>
      <c r="I54" s="38" t="s">
        <v>310</v>
      </c>
      <c r="J54" s="39" t="s">
        <v>311</v>
      </c>
      <c r="K54" s="25"/>
      <c r="L54" s="25"/>
      <c r="M54" s="25"/>
      <c r="N54" s="31" t="s">
        <v>84</v>
      </c>
      <c r="O54" s="25"/>
      <c r="P54" s="25"/>
      <c r="Q54" s="25"/>
    </row>
    <row r="55" spans="1:17" ht="26.25" customHeight="1">
      <c r="A55" s="24" t="s">
        <v>312</v>
      </c>
      <c r="B55" s="25" t="s">
        <v>262</v>
      </c>
      <c r="C55" s="26" t="s">
        <v>301</v>
      </c>
      <c r="D55" s="26" t="s">
        <v>313</v>
      </c>
      <c r="E55" s="35" t="s">
        <v>79</v>
      </c>
      <c r="F55" s="26" t="s">
        <v>303</v>
      </c>
      <c r="G55" s="25"/>
      <c r="H55" s="37" t="s">
        <v>314</v>
      </c>
      <c r="I55" s="38" t="s">
        <v>315</v>
      </c>
      <c r="J55" s="39" t="s">
        <v>316</v>
      </c>
      <c r="K55" s="25"/>
      <c r="L55" s="25"/>
      <c r="M55" s="25"/>
      <c r="N55" s="31" t="s">
        <v>84</v>
      </c>
      <c r="O55" s="25"/>
      <c r="P55" s="25"/>
      <c r="Q55" s="25"/>
    </row>
    <row r="56" spans="1:17" ht="26.25" customHeight="1">
      <c r="A56" s="24" t="s">
        <v>317</v>
      </c>
      <c r="B56" s="25" t="s">
        <v>262</v>
      </c>
      <c r="C56" s="26" t="s">
        <v>318</v>
      </c>
      <c r="D56" s="26" t="s">
        <v>319</v>
      </c>
      <c r="E56" s="27" t="s">
        <v>79</v>
      </c>
      <c r="F56" s="26" t="s">
        <v>303</v>
      </c>
      <c r="G56" s="25"/>
      <c r="H56" s="37" t="s">
        <v>320</v>
      </c>
      <c r="I56" s="38" t="s">
        <v>321</v>
      </c>
      <c r="J56" s="38" t="s">
        <v>322</v>
      </c>
      <c r="K56" s="25"/>
      <c r="L56" s="25"/>
      <c r="M56" s="25"/>
      <c r="N56" s="31" t="s">
        <v>84</v>
      </c>
      <c r="O56" s="25"/>
      <c r="P56" s="25"/>
      <c r="Q56" s="25"/>
    </row>
    <row r="57" spans="1:17" ht="26.25" customHeight="1">
      <c r="A57" s="24" t="s">
        <v>323</v>
      </c>
      <c r="B57" s="25" t="s">
        <v>262</v>
      </c>
      <c r="C57" s="26" t="s">
        <v>318</v>
      </c>
      <c r="D57" s="26" t="s">
        <v>324</v>
      </c>
      <c r="E57" s="35" t="s">
        <v>155</v>
      </c>
      <c r="F57" s="26" t="s">
        <v>303</v>
      </c>
      <c r="G57" s="25"/>
      <c r="H57" s="37" t="s">
        <v>325</v>
      </c>
      <c r="I57" s="38" t="s">
        <v>326</v>
      </c>
      <c r="J57" s="38" t="s">
        <v>327</v>
      </c>
      <c r="K57" s="25"/>
      <c r="L57" s="25"/>
      <c r="M57" s="25"/>
      <c r="N57" s="31" t="s">
        <v>84</v>
      </c>
      <c r="O57" s="25"/>
      <c r="P57" s="25"/>
      <c r="Q57" s="25"/>
    </row>
    <row r="58" spans="1:17" ht="26.25" customHeight="1">
      <c r="A58" s="24" t="s">
        <v>328</v>
      </c>
      <c r="B58" s="25" t="s">
        <v>262</v>
      </c>
      <c r="C58" s="26" t="s">
        <v>329</v>
      </c>
      <c r="D58" s="26" t="s">
        <v>319</v>
      </c>
      <c r="E58" s="27" t="s">
        <v>79</v>
      </c>
      <c r="F58" s="26" t="s">
        <v>303</v>
      </c>
      <c r="G58" s="25"/>
      <c r="H58" s="37" t="s">
        <v>320</v>
      </c>
      <c r="I58" s="38" t="s">
        <v>330</v>
      </c>
      <c r="J58" s="38" t="s">
        <v>331</v>
      </c>
      <c r="K58" s="25"/>
      <c r="L58" s="25"/>
      <c r="M58" s="25"/>
      <c r="N58" s="31" t="s">
        <v>84</v>
      </c>
      <c r="O58" s="25"/>
      <c r="P58" s="25"/>
      <c r="Q58" s="25"/>
    </row>
    <row r="59" spans="1:17" ht="39.75" customHeight="1">
      <c r="A59" s="24" t="s">
        <v>332</v>
      </c>
      <c r="B59" s="25" t="s">
        <v>262</v>
      </c>
      <c r="C59" s="26" t="s">
        <v>329</v>
      </c>
      <c r="D59" s="26" t="s">
        <v>324</v>
      </c>
      <c r="E59" s="35" t="s">
        <v>155</v>
      </c>
      <c r="F59" s="26" t="s">
        <v>303</v>
      </c>
      <c r="G59" s="25"/>
      <c r="H59" s="37" t="s">
        <v>333</v>
      </c>
      <c r="I59" s="38" t="s">
        <v>334</v>
      </c>
      <c r="J59" s="38" t="s">
        <v>335</v>
      </c>
      <c r="K59" s="25"/>
      <c r="L59" s="25"/>
      <c r="M59" s="25"/>
      <c r="N59" s="31" t="s">
        <v>84</v>
      </c>
      <c r="O59" s="25"/>
      <c r="P59" s="25"/>
      <c r="Q59" s="25"/>
    </row>
    <row r="60" spans="1:17" ht="26.25" customHeight="1">
      <c r="A60" s="24" t="s">
        <v>336</v>
      </c>
      <c r="B60" s="25" t="s">
        <v>262</v>
      </c>
      <c r="C60" s="26" t="s">
        <v>337</v>
      </c>
      <c r="D60" s="26" t="s">
        <v>319</v>
      </c>
      <c r="E60" s="27" t="s">
        <v>79</v>
      </c>
      <c r="F60" s="26" t="s">
        <v>303</v>
      </c>
      <c r="G60" s="25"/>
      <c r="H60" s="37" t="s">
        <v>320</v>
      </c>
      <c r="I60" s="38" t="s">
        <v>338</v>
      </c>
      <c r="J60" s="38" t="s">
        <v>339</v>
      </c>
      <c r="K60" s="25"/>
      <c r="L60" s="25"/>
      <c r="M60" s="25"/>
      <c r="N60" s="31" t="s">
        <v>84</v>
      </c>
      <c r="O60" s="25"/>
      <c r="P60" s="25"/>
      <c r="Q60" s="25"/>
    </row>
    <row r="61" spans="1:17" ht="15" customHeight="1">
      <c r="A61" s="24" t="s">
        <v>340</v>
      </c>
      <c r="B61" s="25" t="s">
        <v>262</v>
      </c>
      <c r="C61" s="26" t="s">
        <v>337</v>
      </c>
      <c r="D61" s="26" t="s">
        <v>324</v>
      </c>
      <c r="E61" s="35" t="s">
        <v>155</v>
      </c>
      <c r="F61" s="26" t="s">
        <v>303</v>
      </c>
      <c r="G61" s="25"/>
      <c r="H61" s="37" t="s">
        <v>341</v>
      </c>
      <c r="I61" s="38" t="s">
        <v>342</v>
      </c>
      <c r="J61" s="38" t="s">
        <v>343</v>
      </c>
      <c r="K61" s="25"/>
      <c r="L61" s="25"/>
      <c r="M61" s="25"/>
      <c r="N61" s="31" t="s">
        <v>84</v>
      </c>
      <c r="O61" s="25"/>
      <c r="P61" s="25"/>
      <c r="Q61" s="25"/>
    </row>
    <row r="62" spans="1:17" ht="53.25" customHeight="1">
      <c r="A62" s="24" t="s">
        <v>344</v>
      </c>
      <c r="B62" s="25" t="s">
        <v>345</v>
      </c>
      <c r="C62" s="26" t="s">
        <v>346</v>
      </c>
      <c r="D62" s="26" t="s">
        <v>347</v>
      </c>
      <c r="E62" s="27" t="s">
        <v>79</v>
      </c>
      <c r="F62" s="26" t="s">
        <v>348</v>
      </c>
      <c r="G62" s="25"/>
      <c r="H62" s="49" t="s">
        <v>349</v>
      </c>
      <c r="I62" s="29" t="s">
        <v>350</v>
      </c>
      <c r="J62" s="30" t="s">
        <v>351</v>
      </c>
      <c r="K62" s="25"/>
      <c r="L62" s="25"/>
      <c r="M62" s="25"/>
      <c r="N62" s="31" t="s">
        <v>84</v>
      </c>
      <c r="O62" s="25"/>
      <c r="P62" s="25"/>
      <c r="Q62" s="25"/>
    </row>
    <row r="63" spans="1:17" ht="53.25" customHeight="1">
      <c r="A63" s="24" t="s">
        <v>352</v>
      </c>
      <c r="B63" s="25" t="s">
        <v>345</v>
      </c>
      <c r="C63" s="26" t="s">
        <v>346</v>
      </c>
      <c r="D63" s="25" t="s">
        <v>353</v>
      </c>
      <c r="E63" s="27" t="s">
        <v>79</v>
      </c>
      <c r="F63" s="26" t="s">
        <v>354</v>
      </c>
      <c r="G63" s="25"/>
      <c r="H63" s="28" t="s">
        <v>355</v>
      </c>
      <c r="I63" s="29" t="s">
        <v>356</v>
      </c>
      <c r="J63" s="30" t="s">
        <v>357</v>
      </c>
      <c r="K63" s="25"/>
      <c r="L63" s="25"/>
      <c r="M63" s="25"/>
      <c r="N63" s="31" t="s">
        <v>84</v>
      </c>
      <c r="O63" s="25"/>
      <c r="P63" s="25"/>
      <c r="Q63" s="25"/>
    </row>
    <row r="64" spans="1:17" ht="53.25" customHeight="1">
      <c r="A64" s="24" t="s">
        <v>358</v>
      </c>
      <c r="B64" s="25" t="s">
        <v>345</v>
      </c>
      <c r="C64" s="26" t="s">
        <v>346</v>
      </c>
      <c r="D64" s="26" t="s">
        <v>359</v>
      </c>
      <c r="E64" s="27" t="s">
        <v>79</v>
      </c>
      <c r="F64" s="26" t="s">
        <v>354</v>
      </c>
      <c r="G64" s="25" t="s">
        <v>96</v>
      </c>
      <c r="H64" s="37" t="s">
        <v>360</v>
      </c>
      <c r="I64" s="38" t="s">
        <v>361</v>
      </c>
      <c r="J64" s="39" t="s">
        <v>362</v>
      </c>
      <c r="K64" s="47"/>
      <c r="L64" s="25"/>
      <c r="M64" s="25"/>
      <c r="N64" s="31" t="s">
        <v>84</v>
      </c>
      <c r="O64" s="25"/>
      <c r="P64" s="25"/>
      <c r="Q64" s="25"/>
    </row>
    <row r="65" spans="1:17" ht="26.25" customHeight="1">
      <c r="A65" s="24" t="s">
        <v>363</v>
      </c>
      <c r="B65" s="25" t="s">
        <v>345</v>
      </c>
      <c r="C65" s="26" t="s">
        <v>346</v>
      </c>
      <c r="D65" s="26" t="s">
        <v>364</v>
      </c>
      <c r="E65" s="27" t="s">
        <v>79</v>
      </c>
      <c r="F65" s="26" t="s">
        <v>365</v>
      </c>
      <c r="G65" s="25"/>
      <c r="H65" s="28" t="s">
        <v>355</v>
      </c>
      <c r="I65" s="29" t="s">
        <v>366</v>
      </c>
      <c r="J65" s="30" t="s">
        <v>367</v>
      </c>
      <c r="K65" s="25"/>
      <c r="L65" s="25"/>
      <c r="M65" s="25"/>
      <c r="N65" s="31" t="s">
        <v>84</v>
      </c>
      <c r="O65" s="25"/>
      <c r="P65" s="25"/>
      <c r="Q65" s="25"/>
    </row>
    <row r="66" spans="1:17" ht="26.25" customHeight="1">
      <c r="A66" s="24" t="s">
        <v>368</v>
      </c>
      <c r="B66" s="25" t="s">
        <v>345</v>
      </c>
      <c r="C66" s="26" t="s">
        <v>346</v>
      </c>
      <c r="D66" s="25" t="s">
        <v>369</v>
      </c>
      <c r="E66" s="27" t="s">
        <v>94</v>
      </c>
      <c r="F66" s="26" t="s">
        <v>370</v>
      </c>
      <c r="G66" s="26" t="s">
        <v>128</v>
      </c>
      <c r="H66" s="28" t="s">
        <v>355</v>
      </c>
      <c r="I66" s="29" t="s">
        <v>366</v>
      </c>
      <c r="J66" s="30" t="s">
        <v>371</v>
      </c>
      <c r="K66" s="25"/>
      <c r="L66" s="25"/>
      <c r="M66" s="25"/>
      <c r="N66" s="31" t="s">
        <v>84</v>
      </c>
      <c r="O66" s="25"/>
      <c r="P66" s="25"/>
      <c r="Q66" s="25"/>
    </row>
    <row r="67" spans="1:17" ht="26.25" customHeight="1">
      <c r="A67" s="24" t="s">
        <v>372</v>
      </c>
      <c r="B67" s="25" t="s">
        <v>345</v>
      </c>
      <c r="C67" s="26" t="s">
        <v>346</v>
      </c>
      <c r="D67" s="26" t="s">
        <v>373</v>
      </c>
      <c r="E67" s="27" t="s">
        <v>110</v>
      </c>
      <c r="F67" s="26" t="s">
        <v>374</v>
      </c>
      <c r="G67" s="25"/>
      <c r="H67" s="28" t="s">
        <v>355</v>
      </c>
      <c r="I67" s="29" t="s">
        <v>366</v>
      </c>
      <c r="J67" s="30" t="s">
        <v>375</v>
      </c>
      <c r="K67" s="25"/>
      <c r="L67" s="25"/>
      <c r="M67" s="25"/>
      <c r="N67" s="31" t="s">
        <v>84</v>
      </c>
      <c r="O67" s="25"/>
      <c r="P67" s="25"/>
      <c r="Q67" s="25"/>
    </row>
    <row r="68" spans="1:17" ht="26.25" customHeight="1">
      <c r="A68" s="24" t="s">
        <v>376</v>
      </c>
      <c r="B68" s="25" t="s">
        <v>345</v>
      </c>
      <c r="C68" s="26" t="s">
        <v>377</v>
      </c>
      <c r="D68" s="25" t="s">
        <v>378</v>
      </c>
      <c r="E68" s="35" t="s">
        <v>379</v>
      </c>
      <c r="F68" s="26" t="s">
        <v>380</v>
      </c>
      <c r="G68" s="25"/>
      <c r="H68" s="37" t="s">
        <v>381</v>
      </c>
      <c r="I68" s="38" t="s">
        <v>382</v>
      </c>
      <c r="J68" s="38" t="s">
        <v>383</v>
      </c>
      <c r="K68" s="47"/>
      <c r="L68" s="25"/>
      <c r="M68" s="25"/>
      <c r="N68" s="31" t="s">
        <v>84</v>
      </c>
      <c r="O68" s="25"/>
      <c r="P68" s="25"/>
      <c r="Q68" s="25"/>
    </row>
    <row r="69" spans="1:17" ht="13.5" customHeight="1">
      <c r="A69" s="24" t="s">
        <v>384</v>
      </c>
      <c r="B69" s="25" t="s">
        <v>345</v>
      </c>
      <c r="C69" s="25" t="s">
        <v>385</v>
      </c>
      <c r="D69" s="25" t="s">
        <v>386</v>
      </c>
      <c r="E69" s="35" t="s">
        <v>379</v>
      </c>
      <c r="F69" s="26" t="s">
        <v>380</v>
      </c>
      <c r="G69" s="25"/>
      <c r="H69" s="37" t="s">
        <v>387</v>
      </c>
      <c r="I69" s="38" t="s">
        <v>388</v>
      </c>
      <c r="J69" s="38" t="s">
        <v>389</v>
      </c>
      <c r="K69" s="25"/>
      <c r="L69" s="25"/>
      <c r="M69" s="25"/>
      <c r="N69" s="31" t="s">
        <v>84</v>
      </c>
      <c r="O69" s="25"/>
      <c r="P69" s="25"/>
      <c r="Q69" s="25"/>
    </row>
    <row r="70" spans="1:17" ht="26.25" customHeight="1">
      <c r="A70" s="24" t="s">
        <v>390</v>
      </c>
      <c r="B70" s="25" t="s">
        <v>345</v>
      </c>
      <c r="C70" s="25" t="s">
        <v>391</v>
      </c>
      <c r="D70" s="25" t="s">
        <v>392</v>
      </c>
      <c r="E70" s="35" t="s">
        <v>379</v>
      </c>
      <c r="F70" s="26" t="s">
        <v>380</v>
      </c>
      <c r="G70" s="25"/>
      <c r="H70" s="37" t="s">
        <v>387</v>
      </c>
      <c r="I70" s="38" t="s">
        <v>393</v>
      </c>
      <c r="J70" s="38" t="s">
        <v>394</v>
      </c>
      <c r="K70" s="25"/>
      <c r="L70" s="25"/>
      <c r="M70" s="25"/>
      <c r="N70" s="31" t="s">
        <v>84</v>
      </c>
      <c r="O70" s="25"/>
      <c r="P70" s="25"/>
      <c r="Q70" s="25"/>
    </row>
    <row r="71" spans="1:17" ht="53.25" customHeight="1">
      <c r="A71" s="24" t="s">
        <v>395</v>
      </c>
      <c r="B71" s="25" t="s">
        <v>396</v>
      </c>
      <c r="C71" s="26" t="s">
        <v>397</v>
      </c>
      <c r="D71" s="26" t="s">
        <v>398</v>
      </c>
      <c r="E71" s="35" t="s">
        <v>79</v>
      </c>
      <c r="F71" s="26" t="s">
        <v>399</v>
      </c>
      <c r="G71" s="25"/>
      <c r="H71" s="28" t="s">
        <v>400</v>
      </c>
      <c r="I71" s="29" t="s">
        <v>401</v>
      </c>
      <c r="J71" s="30" t="s">
        <v>402</v>
      </c>
      <c r="K71" s="25"/>
      <c r="L71" s="25"/>
      <c r="M71" s="25"/>
      <c r="N71" s="31" t="s">
        <v>84</v>
      </c>
      <c r="O71" s="25"/>
      <c r="P71" s="25"/>
      <c r="Q71" s="25"/>
    </row>
    <row r="72" spans="1:17" ht="26.25" customHeight="1">
      <c r="A72" s="24" t="s">
        <v>403</v>
      </c>
      <c r="B72" s="25" t="s">
        <v>396</v>
      </c>
      <c r="C72" s="26" t="s">
        <v>397</v>
      </c>
      <c r="D72" s="26" t="s">
        <v>404</v>
      </c>
      <c r="E72" s="35" t="s">
        <v>94</v>
      </c>
      <c r="F72" s="26" t="s">
        <v>405</v>
      </c>
      <c r="G72" s="25" t="s">
        <v>406</v>
      </c>
      <c r="H72" s="28" t="s">
        <v>407</v>
      </c>
      <c r="I72" s="29" t="s">
        <v>401</v>
      </c>
      <c r="J72" s="29" t="s">
        <v>408</v>
      </c>
      <c r="K72" s="25"/>
      <c r="L72" s="25"/>
      <c r="M72" s="25"/>
      <c r="N72" s="31" t="s">
        <v>84</v>
      </c>
      <c r="O72" s="25"/>
      <c r="P72" s="25"/>
      <c r="Q72" s="25"/>
    </row>
    <row r="73" spans="1:17" ht="13.5" customHeight="1">
      <c r="A73" s="24" t="s">
        <v>409</v>
      </c>
      <c r="B73" s="25" t="s">
        <v>396</v>
      </c>
      <c r="C73" s="26" t="s">
        <v>397</v>
      </c>
      <c r="D73" s="26" t="s">
        <v>410</v>
      </c>
      <c r="E73" s="27" t="s">
        <v>79</v>
      </c>
      <c r="F73" s="26" t="s">
        <v>399</v>
      </c>
      <c r="G73" s="25"/>
      <c r="H73" s="37" t="s">
        <v>411</v>
      </c>
      <c r="I73" s="38" t="s">
        <v>412</v>
      </c>
      <c r="J73" s="39" t="s">
        <v>413</v>
      </c>
      <c r="K73" s="47"/>
      <c r="L73" s="25"/>
      <c r="M73" s="25"/>
      <c r="N73" s="31" t="s">
        <v>84</v>
      </c>
      <c r="O73" s="25"/>
      <c r="P73" s="25"/>
      <c r="Q73" s="25"/>
    </row>
    <row r="74" spans="1:17" ht="26.25" customHeight="1">
      <c r="A74" s="24" t="s">
        <v>414</v>
      </c>
      <c r="B74" s="25" t="s">
        <v>396</v>
      </c>
      <c r="C74" s="26" t="s">
        <v>397</v>
      </c>
      <c r="D74" s="26" t="s">
        <v>415</v>
      </c>
      <c r="E74" s="35" t="s">
        <v>79</v>
      </c>
      <c r="F74" s="26" t="s">
        <v>399</v>
      </c>
      <c r="G74" s="25"/>
      <c r="H74" s="28" t="s">
        <v>416</v>
      </c>
      <c r="I74" s="29" t="s">
        <v>412</v>
      </c>
      <c r="J74" s="30" t="s">
        <v>417</v>
      </c>
      <c r="K74" s="25"/>
      <c r="L74" s="25"/>
      <c r="M74" s="25"/>
      <c r="N74" s="31" t="s">
        <v>84</v>
      </c>
      <c r="O74" s="25"/>
      <c r="P74" s="25"/>
      <c r="Q74" s="25"/>
    </row>
    <row r="75" spans="1:17" ht="26.25" customHeight="1">
      <c r="A75" s="24" t="s">
        <v>418</v>
      </c>
      <c r="B75" s="25" t="s">
        <v>396</v>
      </c>
      <c r="C75" s="26" t="s">
        <v>397</v>
      </c>
      <c r="D75" s="26" t="s">
        <v>419</v>
      </c>
      <c r="E75" s="35" t="s">
        <v>79</v>
      </c>
      <c r="F75" s="26" t="s">
        <v>420</v>
      </c>
      <c r="G75" s="25"/>
      <c r="H75" s="28" t="s">
        <v>421</v>
      </c>
      <c r="I75" s="29" t="s">
        <v>422</v>
      </c>
      <c r="J75" s="30" t="s">
        <v>423</v>
      </c>
      <c r="K75" s="25"/>
      <c r="L75" s="25"/>
      <c r="M75" s="25"/>
      <c r="N75" s="31" t="s">
        <v>84</v>
      </c>
      <c r="O75" s="25"/>
      <c r="P75" s="25"/>
      <c r="Q75" s="25"/>
    </row>
    <row r="76" spans="1:17" ht="26.25" customHeight="1">
      <c r="A76" s="24" t="s">
        <v>424</v>
      </c>
      <c r="B76" s="25" t="s">
        <v>396</v>
      </c>
      <c r="C76" s="26" t="s">
        <v>397</v>
      </c>
      <c r="D76" s="26" t="s">
        <v>425</v>
      </c>
      <c r="E76" s="35" t="s">
        <v>94</v>
      </c>
      <c r="F76" s="26" t="s">
        <v>426</v>
      </c>
      <c r="G76" s="25" t="s">
        <v>427</v>
      </c>
      <c r="H76" s="28" t="s">
        <v>428</v>
      </c>
      <c r="I76" s="29" t="s">
        <v>422</v>
      </c>
      <c r="J76" s="29" t="s">
        <v>429</v>
      </c>
      <c r="K76" s="25"/>
      <c r="L76" s="25"/>
      <c r="M76" s="25"/>
      <c r="N76" s="31" t="s">
        <v>84</v>
      </c>
      <c r="O76" s="25"/>
      <c r="P76" s="25"/>
      <c r="Q76" s="25"/>
    </row>
    <row r="77" spans="1:17" ht="26.25" customHeight="1">
      <c r="A77" s="24" t="s">
        <v>430</v>
      </c>
      <c r="B77" s="25" t="s">
        <v>396</v>
      </c>
      <c r="C77" s="26" t="s">
        <v>397</v>
      </c>
      <c r="D77" s="26" t="s">
        <v>431</v>
      </c>
      <c r="E77" s="27" t="s">
        <v>79</v>
      </c>
      <c r="F77" s="26" t="s">
        <v>399</v>
      </c>
      <c r="G77" s="25"/>
      <c r="H77" s="37" t="s">
        <v>411</v>
      </c>
      <c r="I77" s="38" t="s">
        <v>422</v>
      </c>
      <c r="J77" s="39" t="s">
        <v>432</v>
      </c>
      <c r="K77" s="47"/>
      <c r="L77" s="25"/>
      <c r="M77" s="25"/>
      <c r="N77" s="31" t="s">
        <v>84</v>
      </c>
      <c r="O77" s="25"/>
      <c r="P77" s="25"/>
      <c r="Q77" s="25"/>
    </row>
    <row r="78" spans="1:17" ht="26.25" customHeight="1">
      <c r="A78" s="24" t="s">
        <v>433</v>
      </c>
      <c r="B78" s="25" t="s">
        <v>396</v>
      </c>
      <c r="C78" s="26" t="s">
        <v>397</v>
      </c>
      <c r="D78" s="26" t="s">
        <v>434</v>
      </c>
      <c r="E78" s="27" t="s">
        <v>79</v>
      </c>
      <c r="F78" s="26" t="s">
        <v>399</v>
      </c>
      <c r="G78" s="25"/>
      <c r="H78" s="37" t="s">
        <v>435</v>
      </c>
      <c r="I78" s="38" t="s">
        <v>436</v>
      </c>
      <c r="J78" s="39" t="s">
        <v>437</v>
      </c>
      <c r="K78" s="25"/>
      <c r="L78" s="25"/>
      <c r="M78" s="25"/>
      <c r="N78" s="31" t="s">
        <v>84</v>
      </c>
      <c r="O78" s="25"/>
      <c r="P78" s="25"/>
      <c r="Q78" s="25"/>
    </row>
    <row r="79" spans="1:17" ht="26.25" customHeight="1">
      <c r="A79" s="24" t="s">
        <v>438</v>
      </c>
      <c r="B79" s="25" t="s">
        <v>396</v>
      </c>
      <c r="C79" s="26" t="s">
        <v>397</v>
      </c>
      <c r="D79" s="26" t="s">
        <v>439</v>
      </c>
      <c r="E79" s="27" t="s">
        <v>94</v>
      </c>
      <c r="F79" s="26" t="s">
        <v>405</v>
      </c>
      <c r="G79" s="25" t="s">
        <v>406</v>
      </c>
      <c r="H79" s="37" t="s">
        <v>435</v>
      </c>
      <c r="I79" s="38" t="s">
        <v>436</v>
      </c>
      <c r="J79" s="38" t="s">
        <v>440</v>
      </c>
      <c r="K79" s="25"/>
      <c r="L79" s="25"/>
      <c r="M79" s="25"/>
      <c r="N79" s="31" t="s">
        <v>84</v>
      </c>
      <c r="O79" s="25"/>
      <c r="P79" s="25"/>
      <c r="Q79" s="25"/>
    </row>
    <row r="80" spans="1:17" ht="15" customHeight="1">
      <c r="A80" s="24" t="s">
        <v>441</v>
      </c>
      <c r="B80" s="25" t="s">
        <v>396</v>
      </c>
      <c r="C80" s="26" t="s">
        <v>397</v>
      </c>
      <c r="D80" s="26" t="s">
        <v>442</v>
      </c>
      <c r="E80" s="35" t="s">
        <v>79</v>
      </c>
      <c r="F80" s="26" t="s">
        <v>399</v>
      </c>
      <c r="G80" s="25"/>
      <c r="H80" s="37" t="s">
        <v>443</v>
      </c>
      <c r="I80" s="38" t="s">
        <v>444</v>
      </c>
      <c r="J80" s="39" t="s">
        <v>445</v>
      </c>
      <c r="K80" s="25"/>
      <c r="L80" s="25"/>
      <c r="M80" s="25"/>
      <c r="N80" s="31" t="s">
        <v>84</v>
      </c>
      <c r="O80" s="25"/>
      <c r="P80" s="25"/>
      <c r="Q80" s="25"/>
    </row>
    <row r="81" spans="1:17" ht="15" customHeight="1">
      <c r="A81" s="24" t="s">
        <v>446</v>
      </c>
      <c r="B81" s="25" t="s">
        <v>396</v>
      </c>
      <c r="C81" s="26" t="s">
        <v>397</v>
      </c>
      <c r="D81" s="26" t="s">
        <v>447</v>
      </c>
      <c r="E81" s="35" t="s">
        <v>79</v>
      </c>
      <c r="F81" s="26" t="s">
        <v>399</v>
      </c>
      <c r="G81" s="25"/>
      <c r="H81" s="37" t="s">
        <v>435</v>
      </c>
      <c r="I81" s="38" t="s">
        <v>448</v>
      </c>
      <c r="J81" s="39" t="s">
        <v>449</v>
      </c>
      <c r="K81" s="25"/>
      <c r="L81" s="25"/>
      <c r="M81" s="25"/>
      <c r="N81" s="31" t="s">
        <v>84</v>
      </c>
      <c r="O81" s="25"/>
      <c r="P81" s="25"/>
      <c r="Q81" s="25"/>
    </row>
    <row r="82" spans="1:17" ht="13.5" customHeight="1">
      <c r="A82" s="24" t="s">
        <v>450</v>
      </c>
      <c r="B82" s="25" t="s">
        <v>396</v>
      </c>
      <c r="C82" s="26" t="s">
        <v>397</v>
      </c>
      <c r="D82" s="26" t="s">
        <v>451</v>
      </c>
      <c r="E82" s="27" t="s">
        <v>105</v>
      </c>
      <c r="F82" s="26" t="s">
        <v>106</v>
      </c>
      <c r="G82" s="25"/>
      <c r="H82" s="37" t="s">
        <v>452</v>
      </c>
      <c r="I82" s="38" t="s">
        <v>453</v>
      </c>
      <c r="J82" s="39" t="s">
        <v>454</v>
      </c>
      <c r="K82" s="25"/>
      <c r="L82" s="25"/>
      <c r="M82" s="25"/>
      <c r="N82" s="31" t="s">
        <v>84</v>
      </c>
      <c r="O82" s="25"/>
      <c r="P82" s="25"/>
      <c r="Q82" s="25"/>
    </row>
    <row r="83" spans="1:17" ht="15" customHeight="1">
      <c r="A83" s="24" t="s">
        <v>455</v>
      </c>
      <c r="B83" s="25" t="s">
        <v>456</v>
      </c>
      <c r="C83" s="26" t="s">
        <v>457</v>
      </c>
      <c r="D83" s="26" t="s">
        <v>458</v>
      </c>
      <c r="E83" s="27" t="s">
        <v>79</v>
      </c>
      <c r="F83" s="26" t="s">
        <v>459</v>
      </c>
      <c r="G83" s="25"/>
      <c r="H83" s="37" t="s">
        <v>460</v>
      </c>
      <c r="I83" s="38" t="s">
        <v>461</v>
      </c>
      <c r="J83" s="39" t="s">
        <v>462</v>
      </c>
      <c r="K83" s="25"/>
      <c r="L83" s="25"/>
      <c r="M83" s="25"/>
      <c r="N83" s="31" t="s">
        <v>84</v>
      </c>
      <c r="O83" s="25"/>
      <c r="P83" s="25"/>
      <c r="Q83" s="25"/>
    </row>
    <row r="84" spans="1:17" ht="13.5" customHeight="1">
      <c r="A84" s="24" t="s">
        <v>463</v>
      </c>
      <c r="B84" s="25" t="s">
        <v>456</v>
      </c>
      <c r="C84" s="26" t="s">
        <v>457</v>
      </c>
      <c r="D84" s="26" t="s">
        <v>464</v>
      </c>
      <c r="E84" s="35" t="s">
        <v>79</v>
      </c>
      <c r="F84" s="26" t="s">
        <v>459</v>
      </c>
      <c r="G84" s="25"/>
      <c r="H84" s="37" t="s">
        <v>460</v>
      </c>
      <c r="I84" s="38" t="s">
        <v>465</v>
      </c>
      <c r="J84" s="39" t="s">
        <v>466</v>
      </c>
      <c r="K84" s="25"/>
      <c r="L84" s="25"/>
      <c r="M84" s="25"/>
      <c r="N84" s="31" t="s">
        <v>84</v>
      </c>
      <c r="O84" s="25"/>
      <c r="P84" s="25"/>
      <c r="Q84" s="25"/>
    </row>
    <row r="85" spans="1:17" ht="15" customHeight="1">
      <c r="A85" s="24" t="s">
        <v>467</v>
      </c>
      <c r="B85" s="25" t="s">
        <v>456</v>
      </c>
      <c r="C85" s="26" t="s">
        <v>457</v>
      </c>
      <c r="D85" s="26" t="s">
        <v>468</v>
      </c>
      <c r="E85" s="35" t="s">
        <v>94</v>
      </c>
      <c r="F85" s="26" t="s">
        <v>469</v>
      </c>
      <c r="G85" s="25" t="s">
        <v>470</v>
      </c>
      <c r="H85" s="28" t="s">
        <v>471</v>
      </c>
      <c r="I85" s="29" t="s">
        <v>465</v>
      </c>
      <c r="J85" s="29" t="s">
        <v>472</v>
      </c>
      <c r="K85" s="25"/>
      <c r="L85" s="25"/>
      <c r="M85" s="25"/>
      <c r="N85" s="31" t="s">
        <v>84</v>
      </c>
      <c r="O85" s="25"/>
      <c r="P85" s="25"/>
      <c r="Q85" s="25"/>
    </row>
    <row r="86" spans="1:17" ht="15" customHeight="1">
      <c r="A86" s="24" t="s">
        <v>473</v>
      </c>
      <c r="B86" s="25" t="s">
        <v>456</v>
      </c>
      <c r="C86" s="26" t="s">
        <v>457</v>
      </c>
      <c r="D86" s="26" t="s">
        <v>474</v>
      </c>
      <c r="E86" s="35" t="s">
        <v>79</v>
      </c>
      <c r="F86" s="26" t="s">
        <v>459</v>
      </c>
      <c r="G86" s="25"/>
      <c r="H86" s="50" t="s">
        <v>460</v>
      </c>
      <c r="I86" s="51" t="s">
        <v>475</v>
      </c>
      <c r="J86" s="52" t="s">
        <v>466</v>
      </c>
      <c r="K86" s="25"/>
      <c r="L86" s="25"/>
      <c r="M86" s="25"/>
      <c r="N86" s="31" t="s">
        <v>84</v>
      </c>
      <c r="O86" s="25"/>
      <c r="P86" s="25"/>
      <c r="Q86" s="25"/>
    </row>
    <row r="87" spans="1:17" ht="15" customHeight="1">
      <c r="A87" s="24" t="s">
        <v>476</v>
      </c>
      <c r="B87" s="25" t="s">
        <v>456</v>
      </c>
      <c r="C87" s="26" t="s">
        <v>457</v>
      </c>
      <c r="D87" s="26" t="s">
        <v>477</v>
      </c>
      <c r="E87" s="35" t="s">
        <v>94</v>
      </c>
      <c r="F87" s="26" t="s">
        <v>469</v>
      </c>
      <c r="G87" s="25" t="s">
        <v>470</v>
      </c>
      <c r="H87" s="37" t="s">
        <v>471</v>
      </c>
      <c r="I87" s="38" t="s">
        <v>475</v>
      </c>
      <c r="J87" s="38" t="s">
        <v>472</v>
      </c>
      <c r="K87" s="25"/>
      <c r="L87" s="25"/>
      <c r="M87" s="25"/>
      <c r="N87" s="31" t="s">
        <v>84</v>
      </c>
      <c r="O87" s="25"/>
      <c r="P87" s="25"/>
      <c r="Q87" s="25"/>
    </row>
    <row r="88" spans="1:17" ht="15" customHeight="1">
      <c r="A88" s="24" t="s">
        <v>478</v>
      </c>
      <c r="B88" s="25" t="s">
        <v>456</v>
      </c>
      <c r="C88" s="26" t="s">
        <v>457</v>
      </c>
      <c r="D88" s="26" t="s">
        <v>479</v>
      </c>
      <c r="E88" s="27" t="s">
        <v>94</v>
      </c>
      <c r="F88" s="26" t="s">
        <v>469</v>
      </c>
      <c r="G88" s="25" t="s">
        <v>470</v>
      </c>
      <c r="H88" s="37" t="s">
        <v>480</v>
      </c>
      <c r="I88" s="38" t="s">
        <v>481</v>
      </c>
      <c r="J88" s="38" t="s">
        <v>482</v>
      </c>
      <c r="K88" s="25"/>
      <c r="L88" s="25"/>
      <c r="M88" s="25"/>
      <c r="N88" s="31" t="s">
        <v>84</v>
      </c>
      <c r="O88" s="25"/>
      <c r="P88" s="25"/>
      <c r="Q88" s="25"/>
    </row>
    <row r="89" spans="1:17" ht="15" customHeight="1">
      <c r="A89" s="24" t="s">
        <v>483</v>
      </c>
      <c r="B89" s="25" t="s">
        <v>456</v>
      </c>
      <c r="C89" s="26" t="s">
        <v>457</v>
      </c>
      <c r="D89" s="26" t="s">
        <v>484</v>
      </c>
      <c r="E89" s="27" t="s">
        <v>79</v>
      </c>
      <c r="F89" s="26" t="s">
        <v>459</v>
      </c>
      <c r="G89" s="25"/>
      <c r="H89" s="37" t="s">
        <v>480</v>
      </c>
      <c r="I89" s="38" t="s">
        <v>481</v>
      </c>
      <c r="J89" s="39" t="s">
        <v>485</v>
      </c>
      <c r="K89" s="25"/>
      <c r="L89" s="25"/>
      <c r="M89" s="25"/>
      <c r="N89" s="31" t="s">
        <v>84</v>
      </c>
      <c r="O89" s="25"/>
      <c r="P89" s="25"/>
      <c r="Q89" s="25"/>
    </row>
    <row r="90" spans="1:17" ht="15" customHeight="1">
      <c r="A90" s="24" t="s">
        <v>486</v>
      </c>
      <c r="B90" s="25" t="s">
        <v>456</v>
      </c>
      <c r="C90" s="26" t="s">
        <v>457</v>
      </c>
      <c r="D90" s="26" t="s">
        <v>487</v>
      </c>
      <c r="E90" s="27" t="s">
        <v>79</v>
      </c>
      <c r="F90" s="26" t="s">
        <v>459</v>
      </c>
      <c r="G90" s="25" t="s">
        <v>470</v>
      </c>
      <c r="H90" s="37" t="s">
        <v>488</v>
      </c>
      <c r="I90" s="38" t="s">
        <v>489</v>
      </c>
      <c r="J90" s="39" t="s">
        <v>490</v>
      </c>
      <c r="K90" s="25"/>
      <c r="L90" s="25"/>
      <c r="M90" s="25"/>
      <c r="N90" s="31" t="s">
        <v>84</v>
      </c>
      <c r="O90" s="25"/>
      <c r="P90" s="25"/>
      <c r="Q90" s="25"/>
    </row>
    <row r="91" spans="1:17" ht="15" customHeight="1">
      <c r="A91" s="24" t="s">
        <v>491</v>
      </c>
      <c r="B91" s="25" t="s">
        <v>456</v>
      </c>
      <c r="C91" s="26" t="s">
        <v>457</v>
      </c>
      <c r="D91" s="26" t="s">
        <v>492</v>
      </c>
      <c r="E91" s="27" t="s">
        <v>94</v>
      </c>
      <c r="F91" s="26" t="s">
        <v>459</v>
      </c>
      <c r="G91" s="25" t="s">
        <v>470</v>
      </c>
      <c r="H91" s="37" t="s">
        <v>480</v>
      </c>
      <c r="I91" s="38" t="s">
        <v>489</v>
      </c>
      <c r="J91" s="38" t="s">
        <v>493</v>
      </c>
      <c r="K91" s="25"/>
      <c r="L91" s="25"/>
      <c r="M91" s="25"/>
      <c r="N91" s="31" t="s">
        <v>84</v>
      </c>
      <c r="O91" s="25"/>
      <c r="P91" s="25"/>
      <c r="Q91" s="25"/>
    </row>
    <row r="92" spans="1:17" ht="15" customHeight="1">
      <c r="A92" s="24" t="s">
        <v>494</v>
      </c>
      <c r="B92" s="25" t="s">
        <v>456</v>
      </c>
      <c r="C92" s="26" t="s">
        <v>457</v>
      </c>
      <c r="D92" s="26" t="s">
        <v>495</v>
      </c>
      <c r="E92" s="27" t="s">
        <v>79</v>
      </c>
      <c r="F92" s="26" t="s">
        <v>459</v>
      </c>
      <c r="G92" s="25"/>
      <c r="H92" s="37" t="s">
        <v>480</v>
      </c>
      <c r="I92" s="38" t="s">
        <v>489</v>
      </c>
      <c r="J92" s="38" t="s">
        <v>496</v>
      </c>
      <c r="K92" s="25"/>
      <c r="L92" s="25"/>
      <c r="M92" s="25"/>
      <c r="N92" s="31" t="s">
        <v>84</v>
      </c>
      <c r="O92" s="25"/>
      <c r="P92" s="25"/>
      <c r="Q92" s="25"/>
    </row>
    <row r="93" spans="1:17" ht="15" customHeight="1">
      <c r="A93" s="24" t="s">
        <v>497</v>
      </c>
      <c r="B93" s="25" t="s">
        <v>456</v>
      </c>
      <c r="C93" s="26" t="s">
        <v>457</v>
      </c>
      <c r="D93" s="26" t="s">
        <v>451</v>
      </c>
      <c r="E93" s="27" t="s">
        <v>105</v>
      </c>
      <c r="F93" s="26" t="s">
        <v>106</v>
      </c>
      <c r="G93" s="25"/>
      <c r="H93" s="37" t="s">
        <v>460</v>
      </c>
      <c r="I93" s="38" t="s">
        <v>453</v>
      </c>
      <c r="J93" s="39" t="s">
        <v>498</v>
      </c>
      <c r="K93" s="25"/>
      <c r="L93" s="25"/>
      <c r="M93" s="25"/>
      <c r="N93" s="31" t="s">
        <v>84</v>
      </c>
      <c r="O93" s="25"/>
      <c r="P93" s="25"/>
      <c r="Q93" s="25"/>
    </row>
    <row r="94" spans="1:17" ht="15" customHeight="1">
      <c r="A94" s="24" t="s">
        <v>499</v>
      </c>
      <c r="B94" s="25" t="s">
        <v>500</v>
      </c>
      <c r="C94" s="26" t="s">
        <v>501</v>
      </c>
      <c r="D94" s="26" t="s">
        <v>502</v>
      </c>
      <c r="E94" s="27" t="s">
        <v>79</v>
      </c>
      <c r="F94" s="26" t="s">
        <v>503</v>
      </c>
      <c r="G94" s="25"/>
      <c r="H94" s="37" t="s">
        <v>504</v>
      </c>
      <c r="I94" s="38" t="s">
        <v>505</v>
      </c>
      <c r="J94" s="39" t="s">
        <v>506</v>
      </c>
      <c r="K94" s="25"/>
      <c r="L94" s="25"/>
      <c r="M94" s="25"/>
      <c r="N94" s="31" t="s">
        <v>84</v>
      </c>
      <c r="O94" s="25"/>
      <c r="P94" s="25"/>
      <c r="Q94" s="25"/>
    </row>
    <row r="95" spans="1:17" ht="15" customHeight="1">
      <c r="A95" s="24" t="s">
        <v>507</v>
      </c>
      <c r="B95" s="25" t="s">
        <v>500</v>
      </c>
      <c r="C95" s="26" t="s">
        <v>501</v>
      </c>
      <c r="D95" s="26" t="s">
        <v>508</v>
      </c>
      <c r="E95" s="27" t="s">
        <v>94</v>
      </c>
      <c r="F95" s="26" t="s">
        <v>509</v>
      </c>
      <c r="G95" s="25" t="s">
        <v>510</v>
      </c>
      <c r="H95" s="37" t="s">
        <v>504</v>
      </c>
      <c r="I95" s="38" t="s">
        <v>511</v>
      </c>
      <c r="J95" s="38" t="s">
        <v>512</v>
      </c>
      <c r="K95" s="25"/>
      <c r="L95" s="25"/>
      <c r="M95" s="25"/>
      <c r="N95" s="31" t="s">
        <v>84</v>
      </c>
      <c r="O95" s="25"/>
      <c r="P95" s="25"/>
      <c r="Q95" s="25"/>
    </row>
    <row r="96" spans="1:17" ht="15" customHeight="1">
      <c r="A96" s="24" t="s">
        <v>513</v>
      </c>
      <c r="B96" s="25" t="s">
        <v>500</v>
      </c>
      <c r="C96" s="26" t="s">
        <v>501</v>
      </c>
      <c r="D96" s="26" t="s">
        <v>514</v>
      </c>
      <c r="E96" s="27" t="s">
        <v>79</v>
      </c>
      <c r="F96" s="26" t="s">
        <v>503</v>
      </c>
      <c r="G96" s="25"/>
      <c r="H96" s="37" t="s">
        <v>515</v>
      </c>
      <c r="I96" s="38" t="s">
        <v>516</v>
      </c>
      <c r="J96" s="39" t="s">
        <v>517</v>
      </c>
      <c r="K96" s="25"/>
      <c r="L96" s="25"/>
      <c r="M96" s="25"/>
      <c r="N96" s="31" t="s">
        <v>84</v>
      </c>
      <c r="O96" s="25"/>
      <c r="P96" s="25"/>
      <c r="Q96" s="25"/>
    </row>
    <row r="97" spans="1:17" ht="15" customHeight="1">
      <c r="A97" s="24" t="s">
        <v>518</v>
      </c>
      <c r="B97" s="25" t="s">
        <v>500</v>
      </c>
      <c r="C97" s="26" t="s">
        <v>501</v>
      </c>
      <c r="D97" s="26" t="s">
        <v>519</v>
      </c>
      <c r="E97" s="27" t="s">
        <v>79</v>
      </c>
      <c r="F97" s="26" t="s">
        <v>503</v>
      </c>
      <c r="G97" s="25"/>
      <c r="H97" s="37" t="s">
        <v>515</v>
      </c>
      <c r="I97" s="38" t="s">
        <v>520</v>
      </c>
      <c r="J97" s="39" t="s">
        <v>521</v>
      </c>
      <c r="K97" s="25"/>
      <c r="L97" s="25"/>
      <c r="M97" s="25"/>
      <c r="N97" s="31" t="s">
        <v>84</v>
      </c>
      <c r="O97" s="25"/>
      <c r="P97" s="25"/>
      <c r="Q97" s="25"/>
    </row>
    <row r="98" spans="1:17" ht="15" customHeight="1">
      <c r="A98" s="24" t="s">
        <v>522</v>
      </c>
      <c r="B98" s="25" t="s">
        <v>500</v>
      </c>
      <c r="C98" s="26" t="s">
        <v>501</v>
      </c>
      <c r="D98" s="26" t="s">
        <v>523</v>
      </c>
      <c r="E98" s="27" t="s">
        <v>79</v>
      </c>
      <c r="F98" s="26" t="s">
        <v>503</v>
      </c>
      <c r="G98" s="25"/>
      <c r="H98" s="37" t="s">
        <v>515</v>
      </c>
      <c r="I98" s="38" t="s">
        <v>524</v>
      </c>
      <c r="J98" s="39" t="s">
        <v>525</v>
      </c>
      <c r="K98" s="25"/>
      <c r="L98" s="25"/>
      <c r="M98" s="25"/>
      <c r="N98" s="31" t="s">
        <v>84</v>
      </c>
      <c r="O98" s="25"/>
      <c r="P98" s="25"/>
      <c r="Q98" s="25"/>
    </row>
    <row r="99" spans="1:17" ht="15" customHeight="1">
      <c r="A99" s="24" t="s">
        <v>526</v>
      </c>
      <c r="B99" s="25" t="s">
        <v>500</v>
      </c>
      <c r="C99" s="26" t="s">
        <v>501</v>
      </c>
      <c r="D99" s="26" t="s">
        <v>527</v>
      </c>
      <c r="E99" s="27" t="s">
        <v>79</v>
      </c>
      <c r="F99" s="26" t="s">
        <v>503</v>
      </c>
      <c r="G99" s="25"/>
      <c r="H99" s="37" t="s">
        <v>504</v>
      </c>
      <c r="I99" s="38" t="s">
        <v>528</v>
      </c>
      <c r="J99" s="39" t="s">
        <v>529</v>
      </c>
      <c r="K99" s="47"/>
      <c r="L99" s="25"/>
      <c r="M99" s="25"/>
      <c r="N99" s="31" t="s">
        <v>84</v>
      </c>
      <c r="O99" s="25"/>
      <c r="P99" s="25"/>
      <c r="Q99" s="25"/>
    </row>
    <row r="100" spans="1:17" ht="15" customHeight="1">
      <c r="A100" s="24" t="s">
        <v>530</v>
      </c>
      <c r="B100" s="25" t="s">
        <v>500</v>
      </c>
      <c r="C100" s="26" t="s">
        <v>501</v>
      </c>
      <c r="D100" s="26" t="s">
        <v>531</v>
      </c>
      <c r="E100" s="27" t="s">
        <v>79</v>
      </c>
      <c r="F100" s="26" t="s">
        <v>503</v>
      </c>
      <c r="G100" s="25"/>
      <c r="H100" s="37" t="s">
        <v>532</v>
      </c>
      <c r="I100" s="38" t="s">
        <v>533</v>
      </c>
      <c r="J100" s="39" t="s">
        <v>534</v>
      </c>
      <c r="K100" s="25"/>
      <c r="L100" s="25"/>
      <c r="M100" s="25"/>
      <c r="N100" s="31" t="s">
        <v>84</v>
      </c>
      <c r="O100" s="25"/>
      <c r="P100" s="25"/>
      <c r="Q100" s="25"/>
    </row>
    <row r="101" spans="1:17" ht="15" customHeight="1">
      <c r="A101" s="24" t="s">
        <v>535</v>
      </c>
      <c r="B101" s="25" t="s">
        <v>500</v>
      </c>
      <c r="C101" s="26" t="s">
        <v>501</v>
      </c>
      <c r="D101" s="26" t="s">
        <v>536</v>
      </c>
      <c r="E101" s="27" t="s">
        <v>79</v>
      </c>
      <c r="F101" s="26" t="s">
        <v>503</v>
      </c>
      <c r="G101" s="25"/>
      <c r="H101" s="37" t="s">
        <v>537</v>
      </c>
      <c r="I101" s="38" t="s">
        <v>533</v>
      </c>
      <c r="J101" s="39" t="s">
        <v>538</v>
      </c>
      <c r="K101" s="25"/>
      <c r="L101" s="25"/>
      <c r="M101" s="25"/>
      <c r="N101" s="31" t="s">
        <v>84</v>
      </c>
      <c r="O101" s="25"/>
      <c r="P101" s="25"/>
      <c r="Q101" s="25"/>
    </row>
    <row r="102" spans="1:17" ht="15" customHeight="1">
      <c r="A102" s="24" t="s">
        <v>539</v>
      </c>
      <c r="B102" s="25" t="s">
        <v>500</v>
      </c>
      <c r="C102" s="26" t="s">
        <v>501</v>
      </c>
      <c r="D102" s="26" t="s">
        <v>540</v>
      </c>
      <c r="E102" s="27" t="s">
        <v>94</v>
      </c>
      <c r="F102" s="26" t="s">
        <v>509</v>
      </c>
      <c r="G102" s="25" t="s">
        <v>510</v>
      </c>
      <c r="H102" s="37" t="s">
        <v>515</v>
      </c>
      <c r="I102" s="38" t="s">
        <v>533</v>
      </c>
      <c r="J102" s="38" t="s">
        <v>541</v>
      </c>
      <c r="K102" s="25"/>
      <c r="L102" s="25"/>
      <c r="M102" s="25"/>
      <c r="N102" s="31" t="s">
        <v>84</v>
      </c>
      <c r="O102" s="25"/>
      <c r="P102" s="25"/>
      <c r="Q102" s="25"/>
    </row>
    <row r="103" spans="1:17" ht="15" customHeight="1">
      <c r="A103" s="24" t="s">
        <v>542</v>
      </c>
      <c r="B103" s="25" t="s">
        <v>500</v>
      </c>
      <c r="C103" s="26" t="s">
        <v>501</v>
      </c>
      <c r="D103" s="26" t="s">
        <v>451</v>
      </c>
      <c r="E103" s="27" t="s">
        <v>105</v>
      </c>
      <c r="F103" s="26" t="s">
        <v>106</v>
      </c>
      <c r="G103" s="25"/>
      <c r="H103" s="37" t="s">
        <v>504</v>
      </c>
      <c r="I103" s="38" t="s">
        <v>453</v>
      </c>
      <c r="J103" s="39" t="s">
        <v>543</v>
      </c>
      <c r="K103" s="25"/>
      <c r="L103" s="25"/>
      <c r="M103" s="25"/>
      <c r="N103" s="31" t="s">
        <v>84</v>
      </c>
      <c r="O103" s="25"/>
      <c r="P103" s="25"/>
      <c r="Q103" s="25"/>
    </row>
    <row r="104" spans="1:17" ht="15" customHeight="1">
      <c r="A104" s="24" t="s">
        <v>544</v>
      </c>
      <c r="B104" s="25" t="s">
        <v>545</v>
      </c>
      <c r="C104" s="26" t="s">
        <v>546</v>
      </c>
      <c r="D104" s="26" t="s">
        <v>547</v>
      </c>
      <c r="E104" s="35" t="s">
        <v>79</v>
      </c>
      <c r="F104" s="26" t="s">
        <v>548</v>
      </c>
      <c r="G104" s="25"/>
      <c r="H104" s="37" t="s">
        <v>549</v>
      </c>
      <c r="I104" s="38" t="s">
        <v>550</v>
      </c>
      <c r="J104" s="39" t="s">
        <v>551</v>
      </c>
      <c r="K104" s="25"/>
      <c r="L104" s="25"/>
      <c r="M104" s="25"/>
      <c r="N104" s="31" t="s">
        <v>84</v>
      </c>
      <c r="O104" s="25"/>
      <c r="P104" s="25"/>
      <c r="Q104" s="25"/>
    </row>
    <row r="105" spans="1:17" ht="26.25" customHeight="1">
      <c r="A105" s="24" t="s">
        <v>552</v>
      </c>
      <c r="B105" s="25" t="s">
        <v>545</v>
      </c>
      <c r="C105" s="26" t="s">
        <v>546</v>
      </c>
      <c r="D105" s="26" t="s">
        <v>553</v>
      </c>
      <c r="E105" s="35" t="s">
        <v>79</v>
      </c>
      <c r="F105" s="26" t="s">
        <v>548</v>
      </c>
      <c r="G105" s="25"/>
      <c r="H105" s="37" t="s">
        <v>554</v>
      </c>
      <c r="I105" s="38" t="s">
        <v>555</v>
      </c>
      <c r="J105" s="39" t="s">
        <v>556</v>
      </c>
      <c r="K105" s="25"/>
      <c r="L105" s="25"/>
      <c r="M105" s="25"/>
      <c r="N105" s="31" t="s">
        <v>84</v>
      </c>
      <c r="O105" s="25"/>
      <c r="P105" s="25"/>
      <c r="Q105" s="25"/>
    </row>
    <row r="106" spans="1:17" ht="26.25" customHeight="1">
      <c r="A106" s="24" t="s">
        <v>557</v>
      </c>
      <c r="B106" s="25" t="s">
        <v>545</v>
      </c>
      <c r="C106" s="26" t="s">
        <v>546</v>
      </c>
      <c r="D106" s="26" t="s">
        <v>558</v>
      </c>
      <c r="E106" s="35" t="s">
        <v>79</v>
      </c>
      <c r="F106" s="26" t="s">
        <v>548</v>
      </c>
      <c r="G106" s="25"/>
      <c r="H106" s="37" t="s">
        <v>549</v>
      </c>
      <c r="I106" s="38" t="s">
        <v>550</v>
      </c>
      <c r="J106" s="39" t="s">
        <v>559</v>
      </c>
      <c r="K106" s="25"/>
      <c r="L106" s="25"/>
      <c r="M106" s="25"/>
      <c r="N106" s="31" t="s">
        <v>84</v>
      </c>
      <c r="O106" s="25"/>
      <c r="P106" s="25"/>
      <c r="Q106" s="25"/>
    </row>
    <row r="107" spans="1:17" ht="26.25" customHeight="1">
      <c r="A107" s="24" t="s">
        <v>560</v>
      </c>
      <c r="B107" s="25" t="s">
        <v>545</v>
      </c>
      <c r="C107" s="26" t="s">
        <v>546</v>
      </c>
      <c r="D107" s="26" t="s">
        <v>561</v>
      </c>
      <c r="E107" s="35" t="s">
        <v>79</v>
      </c>
      <c r="F107" s="26" t="s">
        <v>548</v>
      </c>
      <c r="G107" s="25"/>
      <c r="H107" s="37" t="s">
        <v>554</v>
      </c>
      <c r="I107" s="38" t="s">
        <v>555</v>
      </c>
      <c r="J107" s="39" t="s">
        <v>562</v>
      </c>
      <c r="K107" s="25"/>
      <c r="L107" s="25"/>
      <c r="M107" s="25"/>
      <c r="N107" s="31" t="s">
        <v>84</v>
      </c>
      <c r="O107" s="25"/>
      <c r="P107" s="25"/>
      <c r="Q107" s="25"/>
    </row>
    <row r="108" spans="1:17" ht="39.75" customHeight="1">
      <c r="A108" s="24" t="s">
        <v>563</v>
      </c>
      <c r="B108" s="25" t="s">
        <v>545</v>
      </c>
      <c r="C108" s="26" t="s">
        <v>546</v>
      </c>
      <c r="D108" s="26" t="s">
        <v>564</v>
      </c>
      <c r="E108" s="27" t="s">
        <v>94</v>
      </c>
      <c r="F108" s="26" t="s">
        <v>548</v>
      </c>
      <c r="G108" s="25" t="s">
        <v>565</v>
      </c>
      <c r="H108" s="37" t="s">
        <v>566</v>
      </c>
      <c r="I108" s="38" t="s">
        <v>567</v>
      </c>
      <c r="J108" s="39" t="s">
        <v>568</v>
      </c>
      <c r="K108" s="47"/>
      <c r="L108" s="25"/>
      <c r="M108" s="25"/>
      <c r="N108" s="31" t="s">
        <v>84</v>
      </c>
      <c r="O108" s="25"/>
      <c r="P108" s="25"/>
      <c r="Q108" s="25"/>
    </row>
    <row r="109" spans="1:17" ht="26.25" customHeight="1">
      <c r="A109" s="24" t="s">
        <v>569</v>
      </c>
      <c r="B109" s="25" t="s">
        <v>545</v>
      </c>
      <c r="C109" s="26" t="s">
        <v>546</v>
      </c>
      <c r="D109" s="26" t="s">
        <v>570</v>
      </c>
      <c r="E109" s="27" t="s">
        <v>94</v>
      </c>
      <c r="F109" s="26" t="s">
        <v>548</v>
      </c>
      <c r="G109" s="25" t="s">
        <v>565</v>
      </c>
      <c r="H109" s="37" t="s">
        <v>571</v>
      </c>
      <c r="I109" s="38" t="s">
        <v>572</v>
      </c>
      <c r="J109" s="39" t="s">
        <v>573</v>
      </c>
      <c r="K109" s="25"/>
      <c r="L109" s="25"/>
      <c r="M109" s="25"/>
      <c r="N109" s="31" t="s">
        <v>84</v>
      </c>
      <c r="O109" s="25"/>
      <c r="P109" s="25"/>
      <c r="Q109" s="25"/>
    </row>
    <row r="110" spans="1:17" ht="26.25" customHeight="1">
      <c r="A110" s="24" t="s">
        <v>574</v>
      </c>
      <c r="B110" s="25" t="s">
        <v>545</v>
      </c>
      <c r="C110" s="26" t="s">
        <v>546</v>
      </c>
      <c r="D110" s="26" t="s">
        <v>575</v>
      </c>
      <c r="E110" s="27" t="s">
        <v>79</v>
      </c>
      <c r="F110" s="26" t="s">
        <v>548</v>
      </c>
      <c r="G110" s="25"/>
      <c r="H110" s="28" t="s">
        <v>549</v>
      </c>
      <c r="I110" s="29" t="s">
        <v>576</v>
      </c>
      <c r="J110" s="30" t="s">
        <v>577</v>
      </c>
      <c r="K110" s="25"/>
      <c r="L110" s="25"/>
      <c r="M110" s="25"/>
      <c r="N110" s="31" t="s">
        <v>84</v>
      </c>
      <c r="O110" s="25"/>
      <c r="P110" s="25"/>
      <c r="Q110" s="25"/>
    </row>
    <row r="111" spans="1:17" ht="26.25" customHeight="1">
      <c r="A111" s="24" t="s">
        <v>578</v>
      </c>
      <c r="B111" s="25" t="s">
        <v>545</v>
      </c>
      <c r="C111" s="26" t="s">
        <v>546</v>
      </c>
      <c r="D111" s="26" t="s">
        <v>579</v>
      </c>
      <c r="E111" s="27" t="s">
        <v>94</v>
      </c>
      <c r="F111" s="26" t="s">
        <v>580</v>
      </c>
      <c r="G111" s="25" t="s">
        <v>565</v>
      </c>
      <c r="H111" s="28" t="s">
        <v>549</v>
      </c>
      <c r="I111" s="29" t="s">
        <v>576</v>
      </c>
      <c r="J111" s="29" t="s">
        <v>581</v>
      </c>
      <c r="K111" s="25"/>
      <c r="L111" s="25"/>
      <c r="M111" s="25"/>
      <c r="N111" s="31" t="s">
        <v>84</v>
      </c>
      <c r="O111" s="25"/>
      <c r="P111" s="25"/>
      <c r="Q111" s="25"/>
    </row>
    <row r="112" spans="1:17" ht="15" customHeight="1">
      <c r="A112" s="24" t="s">
        <v>582</v>
      </c>
      <c r="B112" s="25" t="s">
        <v>545</v>
      </c>
      <c r="C112" s="26" t="s">
        <v>546</v>
      </c>
      <c r="D112" s="26" t="s">
        <v>583</v>
      </c>
      <c r="E112" s="27" t="s">
        <v>94</v>
      </c>
      <c r="F112" s="26" t="s">
        <v>584</v>
      </c>
      <c r="G112" s="25" t="s">
        <v>565</v>
      </c>
      <c r="H112" s="28" t="s">
        <v>549</v>
      </c>
      <c r="I112" s="29" t="s">
        <v>585</v>
      </c>
      <c r="J112" s="29" t="s">
        <v>586</v>
      </c>
      <c r="K112" s="25"/>
      <c r="L112" s="25"/>
      <c r="M112" s="25"/>
      <c r="N112" s="31" t="s">
        <v>84</v>
      </c>
      <c r="O112" s="25"/>
      <c r="P112" s="25"/>
      <c r="Q112" s="25"/>
    </row>
    <row r="113" spans="1:17" ht="15" customHeight="1">
      <c r="A113" s="24" t="s">
        <v>587</v>
      </c>
      <c r="B113" s="25" t="s">
        <v>545</v>
      </c>
      <c r="C113" s="26" t="s">
        <v>546</v>
      </c>
      <c r="D113" s="26" t="s">
        <v>588</v>
      </c>
      <c r="E113" s="35" t="s">
        <v>79</v>
      </c>
      <c r="F113" s="26" t="s">
        <v>548</v>
      </c>
      <c r="G113" s="25"/>
      <c r="H113" s="37" t="s">
        <v>589</v>
      </c>
      <c r="I113" s="38" t="s">
        <v>590</v>
      </c>
      <c r="J113" s="39" t="s">
        <v>591</v>
      </c>
      <c r="K113" s="47"/>
      <c r="L113" s="25"/>
      <c r="M113" s="25"/>
      <c r="N113" s="31" t="s">
        <v>84</v>
      </c>
      <c r="O113" s="25"/>
      <c r="P113" s="25"/>
      <c r="Q113" s="25"/>
    </row>
    <row r="114" spans="1:17" ht="26.25" customHeight="1">
      <c r="A114" s="24" t="s">
        <v>592</v>
      </c>
      <c r="B114" s="25" t="s">
        <v>545</v>
      </c>
      <c r="C114" s="26" t="s">
        <v>546</v>
      </c>
      <c r="D114" s="26" t="s">
        <v>593</v>
      </c>
      <c r="E114" s="35" t="s">
        <v>79</v>
      </c>
      <c r="F114" s="26" t="s">
        <v>548</v>
      </c>
      <c r="G114" s="25"/>
      <c r="H114" s="37" t="s">
        <v>594</v>
      </c>
      <c r="I114" s="38" t="s">
        <v>595</v>
      </c>
      <c r="J114" s="39" t="s">
        <v>596</v>
      </c>
      <c r="K114" s="25"/>
      <c r="L114" s="25"/>
      <c r="M114" s="25"/>
      <c r="N114" s="31" t="s">
        <v>84</v>
      </c>
      <c r="O114" s="25"/>
      <c r="P114" s="25"/>
      <c r="Q114" s="25"/>
    </row>
    <row r="115" spans="1:17" ht="26.25" customHeight="1">
      <c r="A115" s="24" t="s">
        <v>597</v>
      </c>
      <c r="B115" s="25" t="s">
        <v>545</v>
      </c>
      <c r="C115" s="26" t="s">
        <v>546</v>
      </c>
      <c r="D115" s="26" t="s">
        <v>598</v>
      </c>
      <c r="E115" s="27" t="s">
        <v>79</v>
      </c>
      <c r="F115" s="26" t="s">
        <v>548</v>
      </c>
      <c r="G115" s="25"/>
      <c r="H115" s="37" t="s">
        <v>599</v>
      </c>
      <c r="I115" s="38" t="s">
        <v>600</v>
      </c>
      <c r="J115" s="39" t="s">
        <v>601</v>
      </c>
      <c r="K115" s="25"/>
      <c r="L115" s="25"/>
      <c r="M115" s="25"/>
      <c r="N115" s="31" t="s">
        <v>84</v>
      </c>
      <c r="O115" s="25"/>
      <c r="P115" s="25"/>
      <c r="Q115" s="25"/>
    </row>
    <row r="116" spans="1:17" ht="26.25" customHeight="1">
      <c r="A116" s="24" t="s">
        <v>602</v>
      </c>
      <c r="B116" s="25" t="s">
        <v>545</v>
      </c>
      <c r="C116" s="26" t="s">
        <v>546</v>
      </c>
      <c r="D116" s="26" t="s">
        <v>603</v>
      </c>
      <c r="E116" s="35" t="s">
        <v>79</v>
      </c>
      <c r="F116" s="26" t="s">
        <v>548</v>
      </c>
      <c r="G116" s="25"/>
      <c r="H116" s="37" t="s">
        <v>604</v>
      </c>
      <c r="I116" s="38" t="s">
        <v>605</v>
      </c>
      <c r="J116" s="39" t="s">
        <v>606</v>
      </c>
      <c r="K116" s="25"/>
      <c r="L116" s="25"/>
      <c r="M116" s="25"/>
      <c r="N116" s="31" t="s">
        <v>84</v>
      </c>
      <c r="O116" s="25"/>
      <c r="P116" s="25"/>
      <c r="Q116" s="25"/>
    </row>
    <row r="117" spans="1:17" ht="26.25" customHeight="1">
      <c r="A117" s="24" t="s">
        <v>607</v>
      </c>
      <c r="B117" s="25" t="s">
        <v>545</v>
      </c>
      <c r="C117" s="26" t="s">
        <v>546</v>
      </c>
      <c r="D117" s="26" t="s">
        <v>608</v>
      </c>
      <c r="E117" s="27" t="s">
        <v>79</v>
      </c>
      <c r="F117" s="26" t="s">
        <v>609</v>
      </c>
      <c r="G117" s="25"/>
      <c r="H117" s="28" t="s">
        <v>549</v>
      </c>
      <c r="I117" s="29" t="s">
        <v>610</v>
      </c>
      <c r="J117" s="30" t="s">
        <v>577</v>
      </c>
      <c r="K117" s="25"/>
      <c r="L117" s="25"/>
      <c r="M117" s="25"/>
      <c r="N117" s="31" t="s">
        <v>84</v>
      </c>
      <c r="O117" s="25"/>
      <c r="P117" s="25"/>
      <c r="Q117" s="25"/>
    </row>
    <row r="118" spans="1:17" ht="26.25" customHeight="1">
      <c r="A118" s="24" t="s">
        <v>611</v>
      </c>
      <c r="B118" s="25" t="s">
        <v>545</v>
      </c>
      <c r="C118" s="26" t="s">
        <v>546</v>
      </c>
      <c r="D118" s="26" t="s">
        <v>612</v>
      </c>
      <c r="E118" s="27" t="s">
        <v>94</v>
      </c>
      <c r="F118" s="26" t="s">
        <v>580</v>
      </c>
      <c r="G118" s="25" t="s">
        <v>565</v>
      </c>
      <c r="H118" s="28" t="s">
        <v>554</v>
      </c>
      <c r="I118" s="29" t="s">
        <v>613</v>
      </c>
      <c r="J118" s="29" t="s">
        <v>614</v>
      </c>
      <c r="K118" s="25"/>
      <c r="L118" s="25"/>
      <c r="M118" s="25"/>
      <c r="N118" s="31" t="s">
        <v>84</v>
      </c>
      <c r="O118" s="25"/>
      <c r="P118" s="25"/>
      <c r="Q118" s="25"/>
    </row>
    <row r="119" spans="1:17" ht="39.75" customHeight="1">
      <c r="A119" s="24" t="s">
        <v>615</v>
      </c>
      <c r="B119" s="25" t="s">
        <v>545</v>
      </c>
      <c r="C119" s="26" t="s">
        <v>546</v>
      </c>
      <c r="D119" s="26" t="s">
        <v>616</v>
      </c>
      <c r="E119" s="27" t="s">
        <v>79</v>
      </c>
      <c r="F119" s="26" t="s">
        <v>548</v>
      </c>
      <c r="G119" s="25"/>
      <c r="H119" s="28" t="s">
        <v>554</v>
      </c>
      <c r="I119" s="29" t="s">
        <v>613</v>
      </c>
      <c r="J119" s="30" t="s">
        <v>617</v>
      </c>
      <c r="K119" s="25"/>
      <c r="L119" s="25"/>
      <c r="M119" s="25"/>
      <c r="N119" s="31" t="s">
        <v>84</v>
      </c>
      <c r="O119" s="25"/>
      <c r="P119" s="25"/>
      <c r="Q119" s="25"/>
    </row>
    <row r="120" spans="1:17" ht="26.25" customHeight="1">
      <c r="A120" s="24" t="s">
        <v>618</v>
      </c>
      <c r="B120" s="25" t="s">
        <v>545</v>
      </c>
      <c r="C120" s="26" t="s">
        <v>546</v>
      </c>
      <c r="D120" s="26" t="s">
        <v>619</v>
      </c>
      <c r="E120" s="27" t="s">
        <v>94</v>
      </c>
      <c r="F120" s="26" t="s">
        <v>584</v>
      </c>
      <c r="G120" s="25" t="s">
        <v>565</v>
      </c>
      <c r="H120" s="28" t="s">
        <v>554</v>
      </c>
      <c r="I120" s="29" t="s">
        <v>620</v>
      </c>
      <c r="J120" s="29" t="s">
        <v>614</v>
      </c>
      <c r="K120" s="25"/>
      <c r="L120" s="25"/>
      <c r="M120" s="25"/>
      <c r="N120" s="31" t="s">
        <v>84</v>
      </c>
      <c r="O120" s="25"/>
      <c r="P120" s="25"/>
      <c r="Q120" s="25"/>
    </row>
    <row r="121" spans="1:17" ht="26.25" customHeight="1">
      <c r="A121" s="24" t="s">
        <v>621</v>
      </c>
      <c r="B121" s="25" t="s">
        <v>545</v>
      </c>
      <c r="C121" s="26" t="s">
        <v>546</v>
      </c>
      <c r="D121" s="26" t="s">
        <v>622</v>
      </c>
      <c r="E121" s="27" t="s">
        <v>79</v>
      </c>
      <c r="F121" s="26" t="s">
        <v>609</v>
      </c>
      <c r="G121" s="25"/>
      <c r="H121" s="28" t="s">
        <v>554</v>
      </c>
      <c r="I121" s="29" t="s">
        <v>620</v>
      </c>
      <c r="J121" s="30" t="s">
        <v>617</v>
      </c>
      <c r="K121" s="25"/>
      <c r="L121" s="25"/>
      <c r="M121" s="25"/>
      <c r="N121" s="31" t="s">
        <v>84</v>
      </c>
      <c r="O121" s="25"/>
      <c r="P121" s="25"/>
      <c r="Q121" s="25"/>
    </row>
    <row r="122" spans="1:17" ht="26.25" customHeight="1">
      <c r="A122" s="24" t="s">
        <v>623</v>
      </c>
      <c r="B122" s="25" t="s">
        <v>624</v>
      </c>
      <c r="C122" s="26" t="s">
        <v>232</v>
      </c>
      <c r="D122" s="26" t="s">
        <v>625</v>
      </c>
      <c r="E122" s="27" t="s">
        <v>79</v>
      </c>
      <c r="F122" s="26" t="s">
        <v>111</v>
      </c>
      <c r="G122" s="25"/>
      <c r="H122" s="49" t="s">
        <v>626</v>
      </c>
      <c r="I122" s="29" t="s">
        <v>627</v>
      </c>
      <c r="J122" s="30" t="s">
        <v>628</v>
      </c>
      <c r="K122" s="25"/>
      <c r="L122" s="25"/>
      <c r="M122" s="25"/>
      <c r="N122" s="31" t="s">
        <v>84</v>
      </c>
      <c r="O122" s="25"/>
      <c r="P122" s="25"/>
      <c r="Q122" s="25"/>
    </row>
    <row r="123" spans="1:17" ht="15" customHeight="1">
      <c r="A123" s="24" t="s">
        <v>629</v>
      </c>
      <c r="B123" s="25" t="s">
        <v>624</v>
      </c>
      <c r="C123" s="26" t="s">
        <v>232</v>
      </c>
      <c r="D123" s="26" t="s">
        <v>630</v>
      </c>
      <c r="E123" s="27" t="s">
        <v>79</v>
      </c>
      <c r="F123" s="26" t="s">
        <v>111</v>
      </c>
      <c r="G123" s="25"/>
      <c r="H123" s="49" t="s">
        <v>626</v>
      </c>
      <c r="I123" s="29" t="s">
        <v>631</v>
      </c>
      <c r="J123" s="30" t="s">
        <v>632</v>
      </c>
      <c r="K123" s="25"/>
      <c r="L123" s="25"/>
      <c r="M123" s="25"/>
      <c r="N123" s="31" t="s">
        <v>84</v>
      </c>
      <c r="O123" s="25"/>
      <c r="P123" s="25"/>
      <c r="Q123" s="25"/>
    </row>
    <row r="124" spans="1:17" ht="15" customHeight="1">
      <c r="A124" s="24" t="s">
        <v>633</v>
      </c>
      <c r="B124" s="25" t="s">
        <v>624</v>
      </c>
      <c r="C124" s="26" t="s">
        <v>232</v>
      </c>
      <c r="D124" s="26" t="s">
        <v>634</v>
      </c>
      <c r="E124" s="27" t="s">
        <v>79</v>
      </c>
      <c r="F124" s="26" t="s">
        <v>111</v>
      </c>
      <c r="G124" s="25"/>
      <c r="H124" s="49" t="s">
        <v>626</v>
      </c>
      <c r="I124" s="29" t="s">
        <v>635</v>
      </c>
      <c r="J124" s="30" t="s">
        <v>636</v>
      </c>
      <c r="K124" s="25"/>
      <c r="L124" s="25"/>
      <c r="M124" s="25"/>
      <c r="N124" s="31" t="s">
        <v>84</v>
      </c>
      <c r="O124" s="25"/>
      <c r="P124" s="25"/>
      <c r="Q124" s="25"/>
    </row>
    <row r="125" spans="1:17" ht="15" customHeight="1">
      <c r="A125" s="24" t="s">
        <v>637</v>
      </c>
      <c r="B125" s="25" t="s">
        <v>624</v>
      </c>
      <c r="C125" s="26" t="s">
        <v>232</v>
      </c>
      <c r="D125" s="26" t="s">
        <v>638</v>
      </c>
      <c r="E125" s="27" t="s">
        <v>79</v>
      </c>
      <c r="F125" s="26" t="s">
        <v>111</v>
      </c>
      <c r="G125" s="25"/>
      <c r="H125" s="49" t="s">
        <v>626</v>
      </c>
      <c r="I125" s="29" t="s">
        <v>639</v>
      </c>
      <c r="J125" s="30" t="s">
        <v>640</v>
      </c>
      <c r="K125" s="25"/>
      <c r="L125" s="25"/>
      <c r="M125" s="25"/>
      <c r="N125" s="31" t="s">
        <v>84</v>
      </c>
      <c r="O125" s="25"/>
      <c r="P125" s="25"/>
      <c r="Q125" s="25"/>
    </row>
    <row r="126" spans="1:17" ht="15" customHeight="1">
      <c r="A126" s="24" t="s">
        <v>641</v>
      </c>
      <c r="B126" s="25" t="s">
        <v>624</v>
      </c>
      <c r="C126" s="26" t="s">
        <v>232</v>
      </c>
      <c r="D126" s="26" t="s">
        <v>642</v>
      </c>
      <c r="E126" s="27" t="s">
        <v>79</v>
      </c>
      <c r="F126" s="26" t="s">
        <v>111</v>
      </c>
      <c r="G126" s="25"/>
      <c r="H126" s="37" t="s">
        <v>643</v>
      </c>
      <c r="I126" s="38" t="s">
        <v>489</v>
      </c>
      <c r="J126" s="39" t="s">
        <v>644</v>
      </c>
      <c r="K126" s="47"/>
      <c r="L126" s="25"/>
      <c r="M126" s="25"/>
      <c r="N126" s="31" t="s">
        <v>84</v>
      </c>
      <c r="O126" s="25"/>
      <c r="P126" s="25"/>
      <c r="Q126" s="25"/>
    </row>
    <row r="127" spans="1:17" ht="15" customHeight="1">
      <c r="A127" s="24" t="s">
        <v>645</v>
      </c>
      <c r="B127" s="25" t="s">
        <v>624</v>
      </c>
      <c r="C127" s="26" t="s">
        <v>232</v>
      </c>
      <c r="D127" s="26" t="s">
        <v>646</v>
      </c>
      <c r="E127" s="27" t="s">
        <v>79</v>
      </c>
      <c r="F127" s="26" t="s">
        <v>111</v>
      </c>
      <c r="G127" s="25"/>
      <c r="H127" s="37" t="s">
        <v>647</v>
      </c>
      <c r="I127" s="38" t="s">
        <v>489</v>
      </c>
      <c r="J127" s="39" t="s">
        <v>648</v>
      </c>
      <c r="K127" s="25"/>
      <c r="L127" s="25"/>
      <c r="M127" s="25"/>
      <c r="N127" s="31" t="s">
        <v>84</v>
      </c>
      <c r="O127" s="25"/>
      <c r="P127" s="25"/>
      <c r="Q127" s="25"/>
    </row>
    <row r="128" spans="1:17" ht="15" customHeight="1">
      <c r="A128" s="24" t="s">
        <v>649</v>
      </c>
      <c r="B128" s="25" t="s">
        <v>624</v>
      </c>
      <c r="C128" s="26" t="s">
        <v>232</v>
      </c>
      <c r="D128" s="26" t="s">
        <v>650</v>
      </c>
      <c r="E128" s="27" t="s">
        <v>94</v>
      </c>
      <c r="F128" s="26" t="s">
        <v>651</v>
      </c>
      <c r="G128" s="25" t="s">
        <v>120</v>
      </c>
      <c r="H128" s="37" t="s">
        <v>647</v>
      </c>
      <c r="I128" s="38" t="s">
        <v>489</v>
      </c>
      <c r="J128" s="38" t="s">
        <v>652</v>
      </c>
      <c r="K128" s="25"/>
      <c r="L128" s="25"/>
      <c r="M128" s="25"/>
      <c r="N128" s="31" t="s">
        <v>84</v>
      </c>
      <c r="O128" s="25"/>
      <c r="P128" s="25"/>
      <c r="Q128" s="25"/>
    </row>
    <row r="129" spans="1:17" ht="15" customHeight="1">
      <c r="A129" s="24" t="s">
        <v>653</v>
      </c>
      <c r="B129" s="25" t="s">
        <v>624</v>
      </c>
      <c r="C129" s="26" t="s">
        <v>232</v>
      </c>
      <c r="D129" s="26" t="s">
        <v>654</v>
      </c>
      <c r="E129" s="27" t="s">
        <v>79</v>
      </c>
      <c r="F129" s="26" t="s">
        <v>111</v>
      </c>
      <c r="G129" s="25"/>
      <c r="H129" s="37" t="s">
        <v>655</v>
      </c>
      <c r="I129" s="38" t="s">
        <v>656</v>
      </c>
      <c r="J129" s="39" t="s">
        <v>657</v>
      </c>
      <c r="K129" s="47"/>
      <c r="L129" s="25"/>
      <c r="M129" s="25"/>
      <c r="N129" s="31" t="s">
        <v>84</v>
      </c>
      <c r="O129" s="25"/>
      <c r="P129" s="25"/>
      <c r="Q129" s="25"/>
    </row>
    <row r="130" spans="1:17" ht="53.25" customHeight="1">
      <c r="A130" s="24" t="s">
        <v>658</v>
      </c>
      <c r="B130" s="25" t="s">
        <v>624</v>
      </c>
      <c r="C130" s="26" t="s">
        <v>232</v>
      </c>
      <c r="D130" s="26" t="s">
        <v>659</v>
      </c>
      <c r="E130" s="27" t="s">
        <v>94</v>
      </c>
      <c r="F130" s="26" t="s">
        <v>651</v>
      </c>
      <c r="G130" s="25" t="s">
        <v>120</v>
      </c>
      <c r="H130" s="37" t="s">
        <v>655</v>
      </c>
      <c r="I130" s="38" t="s">
        <v>656</v>
      </c>
      <c r="J130" s="53" t="s">
        <v>660</v>
      </c>
      <c r="K130" s="48" t="s">
        <v>661</v>
      </c>
      <c r="L130" s="25"/>
      <c r="M130" s="25"/>
      <c r="N130" s="31" t="s">
        <v>84</v>
      </c>
      <c r="O130" s="25"/>
      <c r="P130" s="25"/>
      <c r="Q130" s="25"/>
    </row>
    <row r="131" spans="1:17" ht="26.25" customHeight="1">
      <c r="A131" s="24" t="s">
        <v>662</v>
      </c>
      <c r="B131" s="25" t="s">
        <v>624</v>
      </c>
      <c r="C131" s="26" t="s">
        <v>232</v>
      </c>
      <c r="D131" s="26" t="s">
        <v>663</v>
      </c>
      <c r="E131" s="27" t="s">
        <v>79</v>
      </c>
      <c r="F131" s="26" t="s">
        <v>111</v>
      </c>
      <c r="G131" s="25"/>
      <c r="H131" s="37" t="s">
        <v>664</v>
      </c>
      <c r="I131" s="38" t="s">
        <v>665</v>
      </c>
      <c r="J131" s="39" t="s">
        <v>666</v>
      </c>
      <c r="K131" s="47"/>
      <c r="L131" s="25"/>
      <c r="M131" s="25"/>
      <c r="N131" s="31" t="s">
        <v>84</v>
      </c>
      <c r="O131" s="25"/>
      <c r="P131" s="25"/>
      <c r="Q131" s="25"/>
    </row>
    <row r="132" spans="1:17" ht="26.25" customHeight="1">
      <c r="A132" s="24" t="s">
        <v>667</v>
      </c>
      <c r="B132" s="25" t="s">
        <v>624</v>
      </c>
      <c r="C132" s="26" t="s">
        <v>232</v>
      </c>
      <c r="D132" s="26" t="s">
        <v>668</v>
      </c>
      <c r="E132" s="27" t="s">
        <v>94</v>
      </c>
      <c r="F132" s="26" t="s">
        <v>651</v>
      </c>
      <c r="G132" s="25" t="s">
        <v>120</v>
      </c>
      <c r="H132" s="37" t="s">
        <v>664</v>
      </c>
      <c r="I132" s="38" t="s">
        <v>665</v>
      </c>
      <c r="J132" s="53" t="s">
        <v>660</v>
      </c>
      <c r="K132" s="48" t="s">
        <v>661</v>
      </c>
      <c r="L132" s="25"/>
      <c r="M132" s="25"/>
      <c r="N132" s="31" t="s">
        <v>84</v>
      </c>
      <c r="O132" s="25"/>
      <c r="P132" s="25"/>
      <c r="Q132" s="25"/>
    </row>
    <row r="133" spans="1:17" ht="26.25" customHeight="1">
      <c r="A133" s="24" t="s">
        <v>669</v>
      </c>
      <c r="B133" s="25" t="s">
        <v>624</v>
      </c>
      <c r="C133" s="26" t="s">
        <v>232</v>
      </c>
      <c r="D133" s="26" t="s">
        <v>451</v>
      </c>
      <c r="E133" s="27" t="s">
        <v>105</v>
      </c>
      <c r="F133" s="26" t="s">
        <v>106</v>
      </c>
      <c r="G133" s="25"/>
      <c r="H133" s="37" t="s">
        <v>670</v>
      </c>
      <c r="I133" s="38" t="s">
        <v>453</v>
      </c>
      <c r="J133" s="39" t="s">
        <v>671</v>
      </c>
      <c r="K133" s="26" t="s">
        <v>672</v>
      </c>
      <c r="L133" s="25"/>
      <c r="M133" s="25"/>
      <c r="N133" s="31" t="s">
        <v>84</v>
      </c>
      <c r="O133" s="25"/>
      <c r="P133" s="25"/>
      <c r="Q133" s="25"/>
    </row>
    <row r="134" spans="1:17" ht="26.25" customHeight="1">
      <c r="A134" s="24" t="s">
        <v>673</v>
      </c>
      <c r="B134" s="25" t="s">
        <v>674</v>
      </c>
      <c r="C134" s="26" t="s">
        <v>675</v>
      </c>
      <c r="D134" s="26" t="s">
        <v>676</v>
      </c>
      <c r="E134" s="27" t="s">
        <v>79</v>
      </c>
      <c r="F134" s="26" t="s">
        <v>677</v>
      </c>
      <c r="G134" s="25"/>
      <c r="H134" s="28" t="s">
        <v>678</v>
      </c>
      <c r="I134" s="29" t="s">
        <v>679</v>
      </c>
      <c r="J134" s="30" t="s">
        <v>680</v>
      </c>
      <c r="K134" s="25"/>
      <c r="L134" s="25"/>
      <c r="M134" s="25"/>
      <c r="N134" s="31" t="s">
        <v>84</v>
      </c>
      <c r="O134" s="25"/>
      <c r="P134" s="25"/>
      <c r="Q134" s="25"/>
    </row>
    <row r="135" spans="1:17" ht="26.25" customHeight="1">
      <c r="A135" s="24" t="s">
        <v>681</v>
      </c>
      <c r="B135" s="25" t="s">
        <v>674</v>
      </c>
      <c r="C135" s="26" t="s">
        <v>675</v>
      </c>
      <c r="D135" s="26" t="s">
        <v>682</v>
      </c>
      <c r="E135" s="27" t="s">
        <v>94</v>
      </c>
      <c r="F135" s="26" t="s">
        <v>683</v>
      </c>
      <c r="G135" s="25" t="s">
        <v>684</v>
      </c>
      <c r="H135" s="28" t="s">
        <v>678</v>
      </c>
      <c r="I135" s="38" t="s">
        <v>679</v>
      </c>
      <c r="J135" s="29" t="s">
        <v>685</v>
      </c>
      <c r="K135" s="25"/>
      <c r="L135" s="25"/>
      <c r="M135" s="25"/>
      <c r="N135" s="31" t="s">
        <v>84</v>
      </c>
      <c r="O135" s="25"/>
      <c r="P135" s="25"/>
      <c r="Q135" s="25"/>
    </row>
    <row r="136" spans="1:17" ht="26.25" customHeight="1">
      <c r="A136" s="24" t="s">
        <v>686</v>
      </c>
      <c r="B136" s="25" t="s">
        <v>674</v>
      </c>
      <c r="C136" s="26" t="s">
        <v>675</v>
      </c>
      <c r="D136" s="26" t="s">
        <v>687</v>
      </c>
      <c r="E136" s="27" t="s">
        <v>79</v>
      </c>
      <c r="F136" s="26" t="s">
        <v>677</v>
      </c>
      <c r="G136" s="25"/>
      <c r="H136" s="37" t="s">
        <v>688</v>
      </c>
      <c r="I136" s="38" t="s">
        <v>689</v>
      </c>
      <c r="J136" s="39" t="s">
        <v>690</v>
      </c>
      <c r="K136" s="25"/>
      <c r="L136" s="25"/>
      <c r="M136" s="25"/>
      <c r="N136" s="31" t="s">
        <v>84</v>
      </c>
      <c r="O136" s="25"/>
      <c r="P136" s="25"/>
      <c r="Q136" s="25"/>
    </row>
    <row r="137" spans="1:17" ht="26.25" customHeight="1">
      <c r="A137" s="24" t="s">
        <v>691</v>
      </c>
      <c r="B137" s="25" t="s">
        <v>674</v>
      </c>
      <c r="C137" s="26" t="s">
        <v>675</v>
      </c>
      <c r="D137" s="26" t="s">
        <v>692</v>
      </c>
      <c r="E137" s="27" t="s">
        <v>79</v>
      </c>
      <c r="F137" s="26" t="s">
        <v>677</v>
      </c>
      <c r="G137" s="25"/>
      <c r="H137" s="28" t="s">
        <v>678</v>
      </c>
      <c r="I137" s="29" t="s">
        <v>693</v>
      </c>
      <c r="J137" s="30" t="s">
        <v>694</v>
      </c>
      <c r="K137" s="25"/>
      <c r="L137" s="25"/>
      <c r="M137" s="25"/>
      <c r="N137" s="31" t="s">
        <v>84</v>
      </c>
      <c r="O137" s="25"/>
      <c r="P137" s="25"/>
      <c r="Q137" s="25"/>
    </row>
    <row r="138" spans="1:17" ht="26.25" customHeight="1">
      <c r="A138" s="24" t="s">
        <v>695</v>
      </c>
      <c r="B138" s="25" t="s">
        <v>674</v>
      </c>
      <c r="C138" s="26" t="s">
        <v>675</v>
      </c>
      <c r="D138" s="26" t="s">
        <v>696</v>
      </c>
      <c r="E138" s="27" t="s">
        <v>94</v>
      </c>
      <c r="F138" s="26" t="s">
        <v>683</v>
      </c>
      <c r="G138" s="25" t="s">
        <v>684</v>
      </c>
      <c r="H138" s="28" t="s">
        <v>678</v>
      </c>
      <c r="I138" s="29" t="s">
        <v>693</v>
      </c>
      <c r="J138" s="30" t="s">
        <v>697</v>
      </c>
      <c r="K138" s="25"/>
      <c r="L138" s="25"/>
      <c r="M138" s="25"/>
      <c r="N138" s="31" t="s">
        <v>84</v>
      </c>
      <c r="O138" s="25"/>
      <c r="P138" s="25"/>
      <c r="Q138" s="25"/>
    </row>
    <row r="139" spans="1:17" ht="39.75" customHeight="1">
      <c r="A139" s="24" t="s">
        <v>698</v>
      </c>
      <c r="B139" s="25" t="s">
        <v>674</v>
      </c>
      <c r="C139" s="26" t="s">
        <v>675</v>
      </c>
      <c r="D139" s="26" t="s">
        <v>699</v>
      </c>
      <c r="E139" s="27" t="s">
        <v>110</v>
      </c>
      <c r="F139" s="26" t="s">
        <v>700</v>
      </c>
      <c r="G139" s="25"/>
      <c r="H139" s="37" t="s">
        <v>701</v>
      </c>
      <c r="I139" s="38" t="s">
        <v>702</v>
      </c>
      <c r="J139" s="39" t="s">
        <v>703</v>
      </c>
      <c r="K139" s="47"/>
      <c r="L139" s="25"/>
      <c r="M139" s="25"/>
      <c r="N139" s="31" t="s">
        <v>84</v>
      </c>
      <c r="O139" s="25"/>
      <c r="P139" s="25"/>
      <c r="Q139" s="25"/>
    </row>
    <row r="140" spans="1:17" ht="26.25" customHeight="1">
      <c r="A140" s="24" t="s">
        <v>704</v>
      </c>
      <c r="B140" s="25" t="s">
        <v>674</v>
      </c>
      <c r="C140" s="26" t="s">
        <v>675</v>
      </c>
      <c r="D140" s="26" t="s">
        <v>705</v>
      </c>
      <c r="E140" s="27" t="s">
        <v>79</v>
      </c>
      <c r="F140" s="26" t="s">
        <v>677</v>
      </c>
      <c r="G140" s="25"/>
      <c r="H140" s="28" t="s">
        <v>678</v>
      </c>
      <c r="I140" s="29" t="s">
        <v>706</v>
      </c>
      <c r="J140" s="30" t="s">
        <v>707</v>
      </c>
      <c r="K140" s="25"/>
      <c r="L140" s="25"/>
      <c r="M140" s="25"/>
      <c r="N140" s="31" t="s">
        <v>84</v>
      </c>
      <c r="O140" s="25"/>
      <c r="P140" s="25"/>
      <c r="Q140" s="25"/>
    </row>
    <row r="141" spans="1:17" ht="26.25" customHeight="1">
      <c r="A141" s="24" t="s">
        <v>708</v>
      </c>
      <c r="B141" s="25" t="s">
        <v>674</v>
      </c>
      <c r="C141" s="26" t="s">
        <v>675</v>
      </c>
      <c r="D141" s="26" t="s">
        <v>709</v>
      </c>
      <c r="E141" s="27" t="s">
        <v>94</v>
      </c>
      <c r="F141" s="26" t="s">
        <v>683</v>
      </c>
      <c r="G141" s="25" t="s">
        <v>684</v>
      </c>
      <c r="H141" s="28" t="s">
        <v>678</v>
      </c>
      <c r="I141" s="29" t="s">
        <v>706</v>
      </c>
      <c r="J141" s="29" t="s">
        <v>710</v>
      </c>
      <c r="K141" s="25"/>
      <c r="L141" s="25"/>
      <c r="M141" s="25"/>
      <c r="N141" s="31" t="s">
        <v>84</v>
      </c>
      <c r="O141" s="25"/>
      <c r="P141" s="25"/>
      <c r="Q141" s="25"/>
    </row>
    <row r="142" spans="1:17" ht="26.25" customHeight="1">
      <c r="A142" s="24" t="s">
        <v>711</v>
      </c>
      <c r="B142" s="25" t="s">
        <v>674</v>
      </c>
      <c r="C142" s="26" t="s">
        <v>675</v>
      </c>
      <c r="D142" s="26" t="s">
        <v>712</v>
      </c>
      <c r="E142" s="27" t="s">
        <v>110</v>
      </c>
      <c r="F142" s="26" t="s">
        <v>700</v>
      </c>
      <c r="G142" s="25"/>
      <c r="H142" s="28" t="s">
        <v>678</v>
      </c>
      <c r="I142" s="29" t="s">
        <v>706</v>
      </c>
      <c r="J142" s="30" t="s">
        <v>713</v>
      </c>
      <c r="K142" s="25"/>
      <c r="L142" s="25"/>
      <c r="M142" s="25"/>
      <c r="N142" s="31" t="s">
        <v>84</v>
      </c>
      <c r="O142" s="25"/>
      <c r="P142" s="25"/>
      <c r="Q142" s="25"/>
    </row>
    <row r="143" spans="1:17" ht="26.25" customHeight="1">
      <c r="A143" s="24" t="s">
        <v>714</v>
      </c>
      <c r="B143" s="25" t="s">
        <v>674</v>
      </c>
      <c r="C143" s="26" t="s">
        <v>675</v>
      </c>
      <c r="D143" s="26" t="s">
        <v>715</v>
      </c>
      <c r="E143" s="27" t="s">
        <v>79</v>
      </c>
      <c r="F143" s="26" t="s">
        <v>677</v>
      </c>
      <c r="G143" s="25"/>
      <c r="H143" s="28" t="s">
        <v>678</v>
      </c>
      <c r="I143" s="29" t="s">
        <v>716</v>
      </c>
      <c r="J143" s="30" t="s">
        <v>717</v>
      </c>
      <c r="K143" s="25"/>
      <c r="L143" s="25"/>
      <c r="M143" s="25"/>
      <c r="N143" s="31" t="s">
        <v>84</v>
      </c>
      <c r="O143" s="25"/>
      <c r="P143" s="25"/>
      <c r="Q143" s="25"/>
    </row>
    <row r="144" spans="1:17" ht="26.25" customHeight="1">
      <c r="A144" s="24" t="s">
        <v>718</v>
      </c>
      <c r="B144" s="25" t="s">
        <v>674</v>
      </c>
      <c r="C144" s="26" t="s">
        <v>675</v>
      </c>
      <c r="D144" s="26" t="s">
        <v>719</v>
      </c>
      <c r="E144" s="27" t="s">
        <v>94</v>
      </c>
      <c r="F144" s="26" t="s">
        <v>683</v>
      </c>
      <c r="G144" s="25" t="s">
        <v>684</v>
      </c>
      <c r="H144" s="28" t="s">
        <v>678</v>
      </c>
      <c r="I144" s="29" t="s">
        <v>716</v>
      </c>
      <c r="J144" s="30" t="s">
        <v>720</v>
      </c>
      <c r="K144" s="25"/>
      <c r="L144" s="25"/>
      <c r="M144" s="25"/>
      <c r="N144" s="31" t="s">
        <v>84</v>
      </c>
      <c r="O144" s="25"/>
      <c r="P144" s="25"/>
      <c r="Q144" s="25"/>
    </row>
    <row r="145" spans="1:17" ht="26.25" customHeight="1">
      <c r="A145" s="24" t="s">
        <v>721</v>
      </c>
      <c r="B145" s="25" t="s">
        <v>674</v>
      </c>
      <c r="C145" s="26" t="s">
        <v>675</v>
      </c>
      <c r="D145" s="26" t="s">
        <v>722</v>
      </c>
      <c r="E145" s="27" t="s">
        <v>110</v>
      </c>
      <c r="F145" s="26" t="s">
        <v>700</v>
      </c>
      <c r="G145" s="25"/>
      <c r="H145" s="37" t="s">
        <v>701</v>
      </c>
      <c r="I145" s="38" t="s">
        <v>716</v>
      </c>
      <c r="J145" s="39" t="s">
        <v>723</v>
      </c>
      <c r="K145" s="47"/>
      <c r="L145" s="25"/>
      <c r="M145" s="25"/>
      <c r="N145" s="31" t="s">
        <v>84</v>
      </c>
      <c r="O145" s="25"/>
      <c r="P145" s="25"/>
      <c r="Q145" s="25"/>
    </row>
    <row r="146" spans="1:17" ht="26.25" customHeight="1">
      <c r="A146" s="24" t="s">
        <v>724</v>
      </c>
      <c r="B146" s="25" t="s">
        <v>674</v>
      </c>
      <c r="C146" s="26" t="s">
        <v>675</v>
      </c>
      <c r="D146" s="26" t="s">
        <v>725</v>
      </c>
      <c r="E146" s="27" t="s">
        <v>79</v>
      </c>
      <c r="F146" s="26" t="s">
        <v>677</v>
      </c>
      <c r="G146" s="25"/>
      <c r="H146" s="28" t="s">
        <v>678</v>
      </c>
      <c r="I146" s="29" t="s">
        <v>726</v>
      </c>
      <c r="J146" s="30" t="s">
        <v>727</v>
      </c>
      <c r="K146" s="25"/>
      <c r="L146" s="25"/>
      <c r="M146" s="25"/>
      <c r="N146" s="31" t="s">
        <v>84</v>
      </c>
      <c r="O146" s="25"/>
      <c r="P146" s="25"/>
      <c r="Q146" s="25"/>
    </row>
    <row r="147" spans="1:17" ht="26.25" customHeight="1">
      <c r="A147" s="24" t="s">
        <v>728</v>
      </c>
      <c r="B147" s="25" t="s">
        <v>674</v>
      </c>
      <c r="C147" s="26" t="s">
        <v>675</v>
      </c>
      <c r="D147" s="26" t="s">
        <v>729</v>
      </c>
      <c r="E147" s="27" t="s">
        <v>94</v>
      </c>
      <c r="F147" s="26" t="s">
        <v>683</v>
      </c>
      <c r="G147" s="25" t="s">
        <v>684</v>
      </c>
      <c r="H147" s="28" t="s">
        <v>678</v>
      </c>
      <c r="I147" s="29" t="s">
        <v>726</v>
      </c>
      <c r="J147" s="30" t="s">
        <v>720</v>
      </c>
      <c r="K147" s="25"/>
      <c r="L147" s="25"/>
      <c r="M147" s="25"/>
      <c r="N147" s="31" t="s">
        <v>84</v>
      </c>
      <c r="O147" s="25"/>
      <c r="P147" s="25"/>
      <c r="Q147" s="25"/>
    </row>
    <row r="148" spans="1:17" ht="26.25" customHeight="1">
      <c r="A148" s="24" t="s">
        <v>730</v>
      </c>
      <c r="B148" s="25" t="s">
        <v>674</v>
      </c>
      <c r="C148" s="26" t="s">
        <v>675</v>
      </c>
      <c r="D148" s="26" t="s">
        <v>731</v>
      </c>
      <c r="E148" s="27" t="s">
        <v>110</v>
      </c>
      <c r="F148" s="26" t="s">
        <v>700</v>
      </c>
      <c r="G148" s="25"/>
      <c r="H148" s="37" t="s">
        <v>701</v>
      </c>
      <c r="I148" s="38" t="s">
        <v>726</v>
      </c>
      <c r="J148" s="39" t="s">
        <v>732</v>
      </c>
      <c r="K148" s="47"/>
      <c r="L148" s="25"/>
      <c r="M148" s="25"/>
      <c r="N148" s="31" t="s">
        <v>84</v>
      </c>
      <c r="O148" s="25"/>
      <c r="P148" s="25"/>
      <c r="Q148" s="25"/>
    </row>
    <row r="149" spans="1:17" ht="26.25" customHeight="1">
      <c r="A149" s="24" t="s">
        <v>733</v>
      </c>
      <c r="B149" s="25" t="s">
        <v>674</v>
      </c>
      <c r="C149" s="26" t="s">
        <v>675</v>
      </c>
      <c r="D149" s="26" t="s">
        <v>734</v>
      </c>
      <c r="E149" s="27" t="s">
        <v>79</v>
      </c>
      <c r="F149" s="26" t="s">
        <v>677</v>
      </c>
      <c r="G149" s="25"/>
      <c r="H149" s="37" t="s">
        <v>735</v>
      </c>
      <c r="I149" s="38" t="s">
        <v>736</v>
      </c>
      <c r="J149" s="39" t="s">
        <v>737</v>
      </c>
      <c r="K149" s="25"/>
      <c r="L149" s="25"/>
      <c r="M149" s="25"/>
      <c r="N149" s="31" t="s">
        <v>84</v>
      </c>
      <c r="O149" s="25"/>
      <c r="P149" s="25"/>
      <c r="Q149" s="25"/>
    </row>
    <row r="150" spans="1:17" ht="39.75" customHeight="1">
      <c r="A150" s="24" t="s">
        <v>738</v>
      </c>
      <c r="B150" s="25" t="s">
        <v>674</v>
      </c>
      <c r="C150" s="26" t="s">
        <v>675</v>
      </c>
      <c r="D150" s="26" t="s">
        <v>739</v>
      </c>
      <c r="E150" s="27" t="s">
        <v>79</v>
      </c>
      <c r="F150" s="26" t="s">
        <v>677</v>
      </c>
      <c r="G150" s="25"/>
      <c r="H150" s="37" t="s">
        <v>740</v>
      </c>
      <c r="I150" s="38" t="s">
        <v>741</v>
      </c>
      <c r="J150" s="39" t="s">
        <v>742</v>
      </c>
      <c r="K150" s="25"/>
      <c r="L150" s="25"/>
      <c r="M150" s="25"/>
      <c r="N150" s="31" t="s">
        <v>84</v>
      </c>
      <c r="O150" s="25"/>
      <c r="P150" s="25"/>
      <c r="Q150" s="25"/>
    </row>
    <row r="151" spans="1:17" ht="26.25" customHeight="1">
      <c r="A151" s="24" t="s">
        <v>743</v>
      </c>
      <c r="B151" s="25" t="s">
        <v>674</v>
      </c>
      <c r="C151" s="26" t="s">
        <v>675</v>
      </c>
      <c r="D151" s="26" t="s">
        <v>744</v>
      </c>
      <c r="E151" s="27" t="s">
        <v>79</v>
      </c>
      <c r="F151" s="26" t="s">
        <v>677</v>
      </c>
      <c r="G151" s="25"/>
      <c r="H151" s="28" t="s">
        <v>678</v>
      </c>
      <c r="I151" s="29" t="s">
        <v>745</v>
      </c>
      <c r="J151" s="30" t="s">
        <v>746</v>
      </c>
      <c r="K151" s="25"/>
      <c r="L151" s="25"/>
      <c r="M151" s="25"/>
      <c r="N151" s="31" t="s">
        <v>84</v>
      </c>
      <c r="O151" s="25"/>
      <c r="P151" s="25"/>
      <c r="Q151" s="25"/>
    </row>
    <row r="152" spans="1:17" ht="26.25" customHeight="1">
      <c r="A152" s="24" t="s">
        <v>747</v>
      </c>
      <c r="B152" s="25" t="s">
        <v>674</v>
      </c>
      <c r="C152" s="26" t="s">
        <v>675</v>
      </c>
      <c r="D152" s="26" t="s">
        <v>748</v>
      </c>
      <c r="E152" s="27" t="s">
        <v>94</v>
      </c>
      <c r="F152" s="26" t="s">
        <v>683</v>
      </c>
      <c r="G152" s="25" t="s">
        <v>684</v>
      </c>
      <c r="H152" s="28" t="s">
        <v>678</v>
      </c>
      <c r="I152" s="29" t="s">
        <v>745</v>
      </c>
      <c r="J152" s="29" t="s">
        <v>749</v>
      </c>
      <c r="K152" s="25"/>
      <c r="L152" s="25"/>
      <c r="M152" s="25"/>
      <c r="N152" s="31" t="s">
        <v>84</v>
      </c>
      <c r="O152" s="25"/>
      <c r="P152" s="25"/>
      <c r="Q152" s="25"/>
    </row>
    <row r="153" spans="1:17" ht="26.25" customHeight="1">
      <c r="A153" s="24" t="s">
        <v>750</v>
      </c>
      <c r="B153" s="25" t="s">
        <v>674</v>
      </c>
      <c r="C153" s="26" t="s">
        <v>675</v>
      </c>
      <c r="D153" s="26" t="s">
        <v>751</v>
      </c>
      <c r="E153" s="27" t="s">
        <v>110</v>
      </c>
      <c r="F153" s="26" t="s">
        <v>700</v>
      </c>
      <c r="G153" s="25"/>
      <c r="H153" s="28" t="s">
        <v>678</v>
      </c>
      <c r="I153" s="29" t="s">
        <v>745</v>
      </c>
      <c r="J153" s="30" t="s">
        <v>752</v>
      </c>
      <c r="K153" s="25"/>
      <c r="L153" s="25"/>
      <c r="M153" s="25"/>
      <c r="N153" s="31" t="s">
        <v>84</v>
      </c>
      <c r="O153" s="25"/>
      <c r="P153" s="25"/>
      <c r="Q153" s="25"/>
    </row>
    <row r="154" spans="1:17" ht="39.75" customHeight="1">
      <c r="A154" s="24" t="s">
        <v>753</v>
      </c>
      <c r="B154" s="25" t="s">
        <v>674</v>
      </c>
      <c r="C154" s="26" t="s">
        <v>675</v>
      </c>
      <c r="D154" s="26" t="s">
        <v>754</v>
      </c>
      <c r="E154" s="27" t="s">
        <v>79</v>
      </c>
      <c r="F154" s="26" t="s">
        <v>677</v>
      </c>
      <c r="G154" s="25"/>
      <c r="H154" s="28" t="s">
        <v>678</v>
      </c>
      <c r="I154" s="29" t="s">
        <v>755</v>
      </c>
      <c r="J154" s="30" t="s">
        <v>756</v>
      </c>
      <c r="K154" s="25"/>
      <c r="L154" s="25"/>
      <c r="M154" s="25"/>
      <c r="N154" s="31" t="s">
        <v>84</v>
      </c>
      <c r="O154" s="25"/>
      <c r="P154" s="25"/>
      <c r="Q154" s="25"/>
    </row>
    <row r="155" spans="1:17" ht="26.25" customHeight="1">
      <c r="A155" s="24" t="s">
        <v>757</v>
      </c>
      <c r="B155" s="25" t="s">
        <v>674</v>
      </c>
      <c r="C155" s="26" t="s">
        <v>675</v>
      </c>
      <c r="D155" s="26" t="s">
        <v>758</v>
      </c>
      <c r="E155" s="27" t="s">
        <v>79</v>
      </c>
      <c r="F155" s="26" t="s">
        <v>677</v>
      </c>
      <c r="G155" s="25"/>
      <c r="H155" s="28" t="s">
        <v>678</v>
      </c>
      <c r="I155" s="29" t="s">
        <v>755</v>
      </c>
      <c r="J155" s="30" t="s">
        <v>756</v>
      </c>
      <c r="K155" s="25"/>
      <c r="L155" s="25"/>
      <c r="M155" s="25"/>
      <c r="N155" s="31" t="s">
        <v>84</v>
      </c>
      <c r="O155" s="25"/>
      <c r="P155" s="25"/>
      <c r="Q155" s="25"/>
    </row>
    <row r="156" spans="1:17" ht="15" customHeight="1">
      <c r="A156" s="24" t="s">
        <v>759</v>
      </c>
      <c r="B156" s="25" t="s">
        <v>674</v>
      </c>
      <c r="C156" s="26" t="s">
        <v>675</v>
      </c>
      <c r="D156" s="26" t="s">
        <v>760</v>
      </c>
      <c r="E156" s="27" t="s">
        <v>94</v>
      </c>
      <c r="F156" s="26" t="s">
        <v>683</v>
      </c>
      <c r="G156" s="25" t="s">
        <v>684</v>
      </c>
      <c r="H156" s="28" t="s">
        <v>678</v>
      </c>
      <c r="I156" s="29" t="s">
        <v>755</v>
      </c>
      <c r="J156" s="29" t="s">
        <v>761</v>
      </c>
      <c r="K156" s="54" t="s">
        <v>762</v>
      </c>
      <c r="L156" s="25"/>
      <c r="M156" s="25"/>
      <c r="N156" s="31" t="s">
        <v>84</v>
      </c>
      <c r="O156" s="25"/>
      <c r="P156" s="25"/>
      <c r="Q156" s="25"/>
    </row>
    <row r="157" spans="1:17" ht="15" customHeight="1">
      <c r="A157" s="24" t="s">
        <v>763</v>
      </c>
      <c r="B157" s="25" t="s">
        <v>674</v>
      </c>
      <c r="C157" s="26" t="s">
        <v>675</v>
      </c>
      <c r="D157" s="26" t="s">
        <v>764</v>
      </c>
      <c r="E157" s="27" t="s">
        <v>110</v>
      </c>
      <c r="F157" s="26" t="s">
        <v>700</v>
      </c>
      <c r="G157" s="25"/>
      <c r="H157" s="28" t="s">
        <v>678</v>
      </c>
      <c r="I157" s="29" t="s">
        <v>755</v>
      </c>
      <c r="J157" s="30" t="s">
        <v>765</v>
      </c>
      <c r="K157" s="25"/>
      <c r="L157" s="25"/>
      <c r="M157" s="25"/>
      <c r="N157" s="31" t="s">
        <v>84</v>
      </c>
      <c r="O157" s="25"/>
      <c r="P157" s="25"/>
      <c r="Q157" s="25"/>
    </row>
    <row r="158" spans="1:17" ht="15" customHeight="1">
      <c r="A158" s="24" t="s">
        <v>766</v>
      </c>
      <c r="B158" s="25" t="s">
        <v>674</v>
      </c>
      <c r="C158" s="26" t="s">
        <v>675</v>
      </c>
      <c r="D158" s="26" t="s">
        <v>451</v>
      </c>
      <c r="E158" s="27" t="s">
        <v>105</v>
      </c>
      <c r="F158" s="26" t="s">
        <v>106</v>
      </c>
      <c r="G158" s="25"/>
      <c r="H158" s="37" t="s">
        <v>767</v>
      </c>
      <c r="I158" s="38" t="s">
        <v>453</v>
      </c>
      <c r="J158" s="39" t="s">
        <v>768</v>
      </c>
      <c r="K158" s="25"/>
      <c r="L158" s="25"/>
      <c r="M158" s="25"/>
      <c r="N158" s="31" t="s">
        <v>84</v>
      </c>
      <c r="O158" s="25"/>
      <c r="P158" s="25"/>
      <c r="Q158" s="25"/>
    </row>
    <row r="159" spans="1:17" ht="26.25" customHeight="1">
      <c r="A159" s="24" t="s">
        <v>769</v>
      </c>
      <c r="B159" s="25" t="s">
        <v>770</v>
      </c>
      <c r="C159" s="26" t="s">
        <v>771</v>
      </c>
      <c r="D159" s="26" t="s">
        <v>772</v>
      </c>
      <c r="E159" s="27" t="s">
        <v>79</v>
      </c>
      <c r="F159" s="26" t="s">
        <v>773</v>
      </c>
      <c r="G159" s="25"/>
      <c r="H159" s="37" t="s">
        <v>774</v>
      </c>
      <c r="I159" s="38" t="s">
        <v>775</v>
      </c>
      <c r="J159" s="39" t="s">
        <v>776</v>
      </c>
      <c r="K159" s="47"/>
      <c r="L159" s="25"/>
      <c r="M159" s="25"/>
      <c r="N159" s="31" t="s">
        <v>84</v>
      </c>
      <c r="O159" s="25"/>
      <c r="P159" s="25"/>
      <c r="Q159" s="25"/>
    </row>
    <row r="160" spans="1:17" ht="15" customHeight="1">
      <c r="A160" s="24" t="s">
        <v>777</v>
      </c>
      <c r="B160" s="25" t="s">
        <v>770</v>
      </c>
      <c r="C160" s="26" t="s">
        <v>771</v>
      </c>
      <c r="D160" s="26" t="s">
        <v>778</v>
      </c>
      <c r="E160" s="27" t="s">
        <v>155</v>
      </c>
      <c r="F160" s="26" t="s">
        <v>773</v>
      </c>
      <c r="G160" s="25"/>
      <c r="H160" s="37" t="s">
        <v>779</v>
      </c>
      <c r="I160" s="38" t="s">
        <v>780</v>
      </c>
      <c r="J160" s="39" t="s">
        <v>781</v>
      </c>
      <c r="K160" s="25"/>
      <c r="L160" s="25"/>
      <c r="M160" s="25"/>
      <c r="N160" s="31" t="s">
        <v>84</v>
      </c>
      <c r="O160" s="25"/>
      <c r="P160" s="25"/>
      <c r="Q160" s="25"/>
    </row>
    <row r="161" spans="1:17" ht="26.25" customHeight="1">
      <c r="A161" s="24" t="s">
        <v>782</v>
      </c>
      <c r="B161" s="25" t="s">
        <v>770</v>
      </c>
      <c r="C161" s="26" t="s">
        <v>771</v>
      </c>
      <c r="D161" s="26" t="s">
        <v>783</v>
      </c>
      <c r="E161" s="27" t="s">
        <v>79</v>
      </c>
      <c r="F161" s="26" t="s">
        <v>773</v>
      </c>
      <c r="G161" s="25"/>
      <c r="H161" s="28" t="s">
        <v>784</v>
      </c>
      <c r="I161" s="29" t="s">
        <v>785</v>
      </c>
      <c r="J161" s="30" t="s">
        <v>786</v>
      </c>
      <c r="K161" s="25"/>
      <c r="L161" s="25"/>
      <c r="M161" s="25"/>
      <c r="N161" s="31" t="s">
        <v>84</v>
      </c>
      <c r="O161" s="25"/>
      <c r="P161" s="25"/>
      <c r="Q161" s="25"/>
    </row>
    <row r="162" spans="1:17" ht="26.25" customHeight="1">
      <c r="A162" s="24" t="s">
        <v>787</v>
      </c>
      <c r="B162" s="25" t="s">
        <v>770</v>
      </c>
      <c r="C162" s="26" t="s">
        <v>771</v>
      </c>
      <c r="D162" s="26" t="s">
        <v>788</v>
      </c>
      <c r="E162" s="27" t="s">
        <v>94</v>
      </c>
      <c r="F162" s="26" t="s">
        <v>789</v>
      </c>
      <c r="G162" s="25" t="s">
        <v>790</v>
      </c>
      <c r="H162" s="28" t="s">
        <v>784</v>
      </c>
      <c r="I162" s="29" t="s">
        <v>785</v>
      </c>
      <c r="J162" s="30" t="s">
        <v>791</v>
      </c>
      <c r="K162" s="25"/>
      <c r="L162" s="25"/>
      <c r="M162" s="25"/>
      <c r="N162" s="31" t="s">
        <v>84</v>
      </c>
      <c r="O162" s="25"/>
      <c r="P162" s="25"/>
      <c r="Q162" s="25"/>
    </row>
    <row r="163" spans="1:17" ht="26.25" customHeight="1">
      <c r="A163" s="24" t="s">
        <v>792</v>
      </c>
      <c r="B163" s="25" t="s">
        <v>770</v>
      </c>
      <c r="C163" s="26" t="s">
        <v>771</v>
      </c>
      <c r="D163" s="26" t="s">
        <v>793</v>
      </c>
      <c r="E163" s="27" t="s">
        <v>110</v>
      </c>
      <c r="F163" s="26" t="s">
        <v>794</v>
      </c>
      <c r="G163" s="25"/>
      <c r="H163" s="37" t="s">
        <v>774</v>
      </c>
      <c r="I163" s="38" t="s">
        <v>785</v>
      </c>
      <c r="J163" s="39" t="s">
        <v>795</v>
      </c>
      <c r="K163" s="47"/>
      <c r="L163" s="25"/>
      <c r="M163" s="25"/>
      <c r="N163" s="31" t="s">
        <v>84</v>
      </c>
      <c r="O163" s="25"/>
      <c r="P163" s="25"/>
      <c r="Q163" s="25"/>
    </row>
    <row r="164" spans="1:17" ht="15" customHeight="1">
      <c r="A164" s="24" t="s">
        <v>796</v>
      </c>
      <c r="B164" s="25" t="s">
        <v>770</v>
      </c>
      <c r="C164" s="26" t="s">
        <v>771</v>
      </c>
      <c r="D164" s="26" t="s">
        <v>797</v>
      </c>
      <c r="E164" s="27" t="s">
        <v>79</v>
      </c>
      <c r="F164" s="26" t="s">
        <v>773</v>
      </c>
      <c r="G164" s="25"/>
      <c r="H164" s="28" t="s">
        <v>784</v>
      </c>
      <c r="I164" s="29" t="s">
        <v>798</v>
      </c>
      <c r="J164" s="30" t="s">
        <v>799</v>
      </c>
      <c r="K164" s="25"/>
      <c r="L164" s="25"/>
      <c r="M164" s="25"/>
      <c r="N164" s="31" t="s">
        <v>84</v>
      </c>
      <c r="O164" s="25"/>
      <c r="P164" s="25"/>
      <c r="Q164" s="25"/>
    </row>
    <row r="165" spans="1:17" ht="26.25" customHeight="1">
      <c r="A165" s="24" t="s">
        <v>800</v>
      </c>
      <c r="B165" s="25" t="s">
        <v>770</v>
      </c>
      <c r="C165" s="26" t="s">
        <v>771</v>
      </c>
      <c r="D165" s="26" t="s">
        <v>801</v>
      </c>
      <c r="E165" s="27" t="s">
        <v>94</v>
      </c>
      <c r="F165" s="26" t="s">
        <v>789</v>
      </c>
      <c r="G165" s="25" t="s">
        <v>790</v>
      </c>
      <c r="H165" s="28" t="s">
        <v>784</v>
      </c>
      <c r="I165" s="29" t="s">
        <v>798</v>
      </c>
      <c r="J165" s="30" t="s">
        <v>802</v>
      </c>
      <c r="K165" s="25"/>
      <c r="L165" s="25"/>
      <c r="M165" s="25"/>
      <c r="N165" s="31" t="s">
        <v>84</v>
      </c>
      <c r="O165" s="25"/>
      <c r="P165" s="25"/>
      <c r="Q165" s="25"/>
    </row>
    <row r="166" spans="1:17" ht="26.25" customHeight="1">
      <c r="A166" s="24" t="s">
        <v>803</v>
      </c>
      <c r="B166" s="25" t="s">
        <v>770</v>
      </c>
      <c r="C166" s="26" t="s">
        <v>771</v>
      </c>
      <c r="D166" s="26" t="s">
        <v>804</v>
      </c>
      <c r="E166" s="27" t="s">
        <v>110</v>
      </c>
      <c r="F166" s="26" t="s">
        <v>794</v>
      </c>
      <c r="G166" s="25"/>
      <c r="H166" s="37" t="s">
        <v>805</v>
      </c>
      <c r="I166" s="38" t="s">
        <v>806</v>
      </c>
      <c r="J166" s="55" t="s">
        <v>807</v>
      </c>
      <c r="K166" s="54" t="s">
        <v>808</v>
      </c>
      <c r="L166" s="25"/>
      <c r="M166" s="25"/>
      <c r="N166" s="31" t="s">
        <v>84</v>
      </c>
      <c r="O166" s="25"/>
      <c r="P166" s="25"/>
      <c r="Q166" s="25"/>
    </row>
    <row r="167" spans="1:17" ht="39.75" customHeight="1">
      <c r="A167" s="24" t="s">
        <v>809</v>
      </c>
      <c r="B167" s="25" t="s">
        <v>770</v>
      </c>
      <c r="C167" s="26" t="s">
        <v>771</v>
      </c>
      <c r="D167" s="26" t="s">
        <v>810</v>
      </c>
      <c r="E167" s="27" t="s">
        <v>79</v>
      </c>
      <c r="F167" s="26" t="s">
        <v>773</v>
      </c>
      <c r="G167" s="25"/>
      <c r="H167" s="37" t="s">
        <v>805</v>
      </c>
      <c r="I167" s="38" t="s">
        <v>811</v>
      </c>
      <c r="J167" s="39" t="s">
        <v>812</v>
      </c>
      <c r="K167" s="47"/>
      <c r="L167" s="25"/>
      <c r="M167" s="25"/>
      <c r="N167" s="31" t="s">
        <v>84</v>
      </c>
      <c r="O167" s="25"/>
      <c r="P167" s="25"/>
      <c r="Q167" s="25"/>
    </row>
    <row r="168" spans="1:17" ht="15" customHeight="1">
      <c r="A168" s="24" t="s">
        <v>813</v>
      </c>
      <c r="B168" s="25" t="s">
        <v>770</v>
      </c>
      <c r="C168" s="26" t="s">
        <v>771</v>
      </c>
      <c r="D168" s="26" t="s">
        <v>814</v>
      </c>
      <c r="E168" s="27" t="s">
        <v>79</v>
      </c>
      <c r="F168" s="26" t="s">
        <v>773</v>
      </c>
      <c r="G168" s="25"/>
      <c r="H168" s="28" t="s">
        <v>784</v>
      </c>
      <c r="I168" s="29" t="s">
        <v>815</v>
      </c>
      <c r="J168" s="30" t="s">
        <v>816</v>
      </c>
      <c r="K168" s="25"/>
      <c r="L168" s="25"/>
      <c r="M168" s="25"/>
      <c r="N168" s="31" t="s">
        <v>84</v>
      </c>
      <c r="O168" s="25"/>
      <c r="P168" s="25"/>
      <c r="Q168" s="25"/>
    </row>
    <row r="169" spans="1:17" ht="15" customHeight="1">
      <c r="A169" s="24" t="s">
        <v>817</v>
      </c>
      <c r="B169" s="25" t="s">
        <v>770</v>
      </c>
      <c r="C169" s="26" t="s">
        <v>771</v>
      </c>
      <c r="D169" s="26" t="s">
        <v>818</v>
      </c>
      <c r="E169" s="27" t="s">
        <v>94</v>
      </c>
      <c r="F169" s="26" t="s">
        <v>789</v>
      </c>
      <c r="G169" s="25" t="s">
        <v>790</v>
      </c>
      <c r="H169" s="28" t="s">
        <v>784</v>
      </c>
      <c r="I169" s="29" t="s">
        <v>815</v>
      </c>
      <c r="J169" s="30" t="s">
        <v>819</v>
      </c>
      <c r="K169" s="25"/>
      <c r="L169" s="25"/>
      <c r="M169" s="25"/>
      <c r="N169" s="31" t="s">
        <v>84</v>
      </c>
      <c r="O169" s="25"/>
      <c r="P169" s="25"/>
      <c r="Q169" s="25"/>
    </row>
    <row r="170" spans="1:17" ht="15" customHeight="1">
      <c r="A170" s="24" t="s">
        <v>820</v>
      </c>
      <c r="B170" s="25" t="s">
        <v>770</v>
      </c>
      <c r="C170" s="26" t="s">
        <v>771</v>
      </c>
      <c r="D170" s="26" t="s">
        <v>821</v>
      </c>
      <c r="E170" s="27" t="s">
        <v>110</v>
      </c>
      <c r="F170" s="26" t="s">
        <v>794</v>
      </c>
      <c r="G170" s="25"/>
      <c r="H170" s="28" t="s">
        <v>822</v>
      </c>
      <c r="I170" s="29" t="s">
        <v>823</v>
      </c>
      <c r="J170" s="30" t="s">
        <v>824</v>
      </c>
      <c r="K170" s="25"/>
      <c r="L170" s="25"/>
      <c r="M170" s="25"/>
      <c r="N170" s="31" t="s">
        <v>84</v>
      </c>
      <c r="O170" s="25"/>
      <c r="P170" s="25"/>
      <c r="Q170" s="25"/>
    </row>
    <row r="171" spans="1:17" ht="15" customHeight="1">
      <c r="A171" s="24" t="s">
        <v>825</v>
      </c>
      <c r="B171" s="25" t="s">
        <v>770</v>
      </c>
      <c r="C171" s="26" t="s">
        <v>771</v>
      </c>
      <c r="D171" s="26" t="s">
        <v>826</v>
      </c>
      <c r="E171" s="27" t="s">
        <v>79</v>
      </c>
      <c r="F171" s="26" t="s">
        <v>773</v>
      </c>
      <c r="G171" s="25" t="s">
        <v>790</v>
      </c>
      <c r="H171" s="37" t="s">
        <v>827</v>
      </c>
      <c r="I171" s="38" t="s">
        <v>828</v>
      </c>
      <c r="J171" s="39" t="s">
        <v>829</v>
      </c>
      <c r="K171" s="47"/>
      <c r="L171" s="25"/>
      <c r="M171" s="25"/>
      <c r="N171" s="31" t="s">
        <v>84</v>
      </c>
      <c r="O171" s="25"/>
      <c r="P171" s="25"/>
      <c r="Q171" s="25"/>
    </row>
    <row r="172" spans="1:17" ht="15" customHeight="1">
      <c r="A172" s="24" t="s">
        <v>830</v>
      </c>
      <c r="B172" s="25" t="s">
        <v>770</v>
      </c>
      <c r="C172" s="26" t="s">
        <v>771</v>
      </c>
      <c r="D172" s="26" t="s">
        <v>831</v>
      </c>
      <c r="E172" s="27" t="s">
        <v>79</v>
      </c>
      <c r="F172" s="26" t="s">
        <v>773</v>
      </c>
      <c r="G172" s="25"/>
      <c r="H172" s="37" t="s">
        <v>832</v>
      </c>
      <c r="I172" s="38" t="s">
        <v>828</v>
      </c>
      <c r="J172" s="39" t="s">
        <v>833</v>
      </c>
      <c r="K172" s="25"/>
      <c r="L172" s="25"/>
      <c r="M172" s="25"/>
      <c r="N172" s="31" t="s">
        <v>84</v>
      </c>
      <c r="O172" s="25"/>
      <c r="P172" s="25"/>
      <c r="Q172" s="25"/>
    </row>
    <row r="173" spans="1:17" ht="26.25" customHeight="1">
      <c r="A173" s="24" t="s">
        <v>834</v>
      </c>
      <c r="B173" s="25" t="s">
        <v>770</v>
      </c>
      <c r="C173" s="26" t="s">
        <v>771</v>
      </c>
      <c r="D173" s="26" t="s">
        <v>835</v>
      </c>
      <c r="E173" s="27" t="s">
        <v>94</v>
      </c>
      <c r="F173" s="26" t="s">
        <v>789</v>
      </c>
      <c r="G173" s="25" t="s">
        <v>790</v>
      </c>
      <c r="H173" s="37" t="s">
        <v>832</v>
      </c>
      <c r="I173" s="38" t="s">
        <v>828</v>
      </c>
      <c r="J173" s="38" t="s">
        <v>836</v>
      </c>
      <c r="K173" s="25"/>
      <c r="L173" s="25"/>
      <c r="M173" s="25"/>
      <c r="N173" s="31" t="s">
        <v>84</v>
      </c>
      <c r="O173" s="25"/>
      <c r="P173" s="25"/>
      <c r="Q173" s="25"/>
    </row>
    <row r="174" spans="1:17" ht="26.25" customHeight="1">
      <c r="A174" s="24" t="s">
        <v>837</v>
      </c>
      <c r="B174" s="25" t="s">
        <v>770</v>
      </c>
      <c r="C174" s="26" t="s">
        <v>771</v>
      </c>
      <c r="D174" s="26" t="s">
        <v>838</v>
      </c>
      <c r="E174" s="27" t="s">
        <v>110</v>
      </c>
      <c r="F174" s="26" t="s">
        <v>794</v>
      </c>
      <c r="G174" s="25"/>
      <c r="H174" s="37" t="s">
        <v>832</v>
      </c>
      <c r="I174" s="38" t="s">
        <v>828</v>
      </c>
      <c r="J174" s="39" t="s">
        <v>839</v>
      </c>
      <c r="K174" s="47"/>
      <c r="L174" s="25"/>
      <c r="M174" s="25"/>
      <c r="N174" s="31" t="s">
        <v>84</v>
      </c>
      <c r="O174" s="25"/>
      <c r="P174" s="25"/>
      <c r="Q174" s="25"/>
    </row>
    <row r="175" spans="1:17" ht="26.25" customHeight="1">
      <c r="A175" s="24" t="s">
        <v>840</v>
      </c>
      <c r="B175" s="25" t="s">
        <v>770</v>
      </c>
      <c r="C175" s="26" t="s">
        <v>771</v>
      </c>
      <c r="D175" s="26" t="s">
        <v>451</v>
      </c>
      <c r="E175" s="27" t="s">
        <v>105</v>
      </c>
      <c r="F175" s="26" t="s">
        <v>106</v>
      </c>
      <c r="G175" s="25"/>
      <c r="H175" s="37" t="s">
        <v>774</v>
      </c>
      <c r="I175" s="38" t="s">
        <v>453</v>
      </c>
      <c r="J175" s="39" t="s">
        <v>841</v>
      </c>
      <c r="K175" s="25"/>
      <c r="L175" s="25"/>
      <c r="M175" s="25"/>
      <c r="N175" s="31" t="s">
        <v>84</v>
      </c>
      <c r="O175" s="25"/>
      <c r="P175" s="25"/>
      <c r="Q175" s="25"/>
    </row>
    <row r="176" spans="1:17" ht="26.25" customHeight="1">
      <c r="A176" s="56" t="s">
        <v>842</v>
      </c>
      <c r="B176" s="41" t="s">
        <v>843</v>
      </c>
      <c r="C176" s="42" t="s">
        <v>844</v>
      </c>
      <c r="D176" s="42" t="s">
        <v>845</v>
      </c>
      <c r="E176" s="43" t="s">
        <v>79</v>
      </c>
      <c r="F176" s="42" t="s">
        <v>846</v>
      </c>
      <c r="G176" s="41"/>
      <c r="H176" s="44" t="s">
        <v>847</v>
      </c>
      <c r="I176" s="45" t="s">
        <v>848</v>
      </c>
      <c r="J176" s="46" t="s">
        <v>849</v>
      </c>
      <c r="K176" s="25"/>
      <c r="L176" s="25"/>
      <c r="M176" s="25"/>
      <c r="N176" s="31" t="s">
        <v>84</v>
      </c>
      <c r="O176" s="25"/>
      <c r="P176" s="25"/>
      <c r="Q176" s="25"/>
    </row>
    <row r="177" spans="1:17" ht="26.25" customHeight="1">
      <c r="A177" s="24" t="s">
        <v>850</v>
      </c>
      <c r="B177" s="25" t="s">
        <v>851</v>
      </c>
      <c r="C177" s="26" t="s">
        <v>852</v>
      </c>
      <c r="D177" s="26" t="s">
        <v>853</v>
      </c>
      <c r="E177" s="27" t="s">
        <v>79</v>
      </c>
      <c r="F177" s="26" t="s">
        <v>854</v>
      </c>
      <c r="G177" s="25"/>
      <c r="H177" s="37" t="s">
        <v>855</v>
      </c>
      <c r="I177" s="38" t="s">
        <v>856</v>
      </c>
      <c r="J177" s="39" t="s">
        <v>857</v>
      </c>
      <c r="K177" s="47"/>
      <c r="L177" s="25"/>
      <c r="M177" s="25"/>
      <c r="N177" s="31" t="s">
        <v>84</v>
      </c>
      <c r="O177" s="25"/>
      <c r="P177" s="25"/>
      <c r="Q177" s="25"/>
    </row>
    <row r="178" spans="1:17" ht="26.25" customHeight="1">
      <c r="A178" s="24" t="s">
        <v>858</v>
      </c>
      <c r="B178" s="25" t="s">
        <v>851</v>
      </c>
      <c r="C178" s="25" t="s">
        <v>859</v>
      </c>
      <c r="D178" s="26" t="s">
        <v>860</v>
      </c>
      <c r="E178" s="27" t="s">
        <v>79</v>
      </c>
      <c r="F178" s="26" t="s">
        <v>854</v>
      </c>
      <c r="G178" s="25"/>
      <c r="H178" s="37" t="s">
        <v>861</v>
      </c>
      <c r="I178" s="38" t="s">
        <v>862</v>
      </c>
      <c r="J178" s="39" t="s">
        <v>863</v>
      </c>
      <c r="K178" s="25"/>
      <c r="L178" s="25"/>
      <c r="M178" s="25"/>
      <c r="N178" s="31" t="s">
        <v>84</v>
      </c>
      <c r="O178" s="25"/>
      <c r="P178" s="25"/>
      <c r="Q178" s="25"/>
    </row>
    <row r="179" spans="1:17" ht="26.25" customHeight="1">
      <c r="A179" s="24" t="s">
        <v>864</v>
      </c>
      <c r="B179" s="25" t="s">
        <v>851</v>
      </c>
      <c r="C179" s="26" t="s">
        <v>865</v>
      </c>
      <c r="D179" s="26" t="s">
        <v>866</v>
      </c>
      <c r="E179" s="27" t="s">
        <v>155</v>
      </c>
      <c r="F179" s="26" t="s">
        <v>854</v>
      </c>
      <c r="G179" s="25"/>
      <c r="H179" s="37" t="s">
        <v>867</v>
      </c>
      <c r="I179" s="38" t="s">
        <v>868</v>
      </c>
      <c r="J179" s="39" t="s">
        <v>869</v>
      </c>
      <c r="K179" s="25"/>
      <c r="L179" s="25"/>
      <c r="M179" s="25"/>
      <c r="N179" s="31" t="s">
        <v>84</v>
      </c>
      <c r="O179" s="25"/>
      <c r="P179" s="25"/>
      <c r="Q179" s="25"/>
    </row>
    <row r="180" spans="1:17" ht="39.75" customHeight="1">
      <c r="A180" s="24" t="s">
        <v>870</v>
      </c>
      <c r="B180" s="25" t="s">
        <v>851</v>
      </c>
      <c r="C180" s="26" t="s">
        <v>865</v>
      </c>
      <c r="D180" s="26" t="s">
        <v>871</v>
      </c>
      <c r="E180" s="27" t="s">
        <v>155</v>
      </c>
      <c r="F180" s="26" t="s">
        <v>854</v>
      </c>
      <c r="G180" s="25"/>
      <c r="H180" s="37" t="s">
        <v>867</v>
      </c>
      <c r="I180" s="38" t="s">
        <v>872</v>
      </c>
      <c r="J180" s="39" t="s">
        <v>873</v>
      </c>
      <c r="K180" s="25"/>
      <c r="L180" s="25"/>
      <c r="M180" s="25"/>
      <c r="N180" s="31" t="s">
        <v>84</v>
      </c>
      <c r="O180" s="25"/>
      <c r="P180" s="25"/>
      <c r="Q180" s="25"/>
    </row>
    <row r="181" spans="1:17" ht="26.25" customHeight="1">
      <c r="A181" s="24" t="s">
        <v>874</v>
      </c>
      <c r="B181" s="25" t="s">
        <v>851</v>
      </c>
      <c r="C181" s="26" t="s">
        <v>865</v>
      </c>
      <c r="D181" s="26" t="s">
        <v>875</v>
      </c>
      <c r="E181" s="27" t="s">
        <v>79</v>
      </c>
      <c r="F181" s="26" t="s">
        <v>876</v>
      </c>
      <c r="G181" s="25"/>
      <c r="H181" s="37" t="s">
        <v>877</v>
      </c>
      <c r="I181" s="38" t="s">
        <v>878</v>
      </c>
      <c r="J181" s="39" t="s">
        <v>879</v>
      </c>
      <c r="K181" s="25"/>
      <c r="L181" s="25"/>
      <c r="M181" s="25"/>
      <c r="N181" s="31" t="s">
        <v>84</v>
      </c>
      <c r="O181" s="25"/>
      <c r="P181" s="25"/>
      <c r="Q181" s="25"/>
    </row>
    <row r="182" spans="1:17" ht="53.25" customHeight="1">
      <c r="A182" s="40" t="s">
        <v>880</v>
      </c>
      <c r="B182" s="41" t="s">
        <v>851</v>
      </c>
      <c r="C182" s="42" t="s">
        <v>881</v>
      </c>
      <c r="D182" s="42" t="s">
        <v>882</v>
      </c>
      <c r="E182" s="43" t="s">
        <v>79</v>
      </c>
      <c r="F182" s="41" t="s">
        <v>883</v>
      </c>
      <c r="G182" s="41"/>
      <c r="H182" s="44" t="s">
        <v>884</v>
      </c>
      <c r="I182" s="45" t="s">
        <v>885</v>
      </c>
      <c r="J182" s="45" t="s">
        <v>886</v>
      </c>
      <c r="K182" s="47"/>
      <c r="L182" s="25"/>
      <c r="M182" s="25"/>
      <c r="N182" s="31" t="s">
        <v>84</v>
      </c>
      <c r="O182" s="25"/>
      <c r="P182" s="25"/>
      <c r="Q182" s="25"/>
    </row>
    <row r="183" spans="1:17" ht="53.25" customHeight="1">
      <c r="A183" s="40" t="s">
        <v>887</v>
      </c>
      <c r="B183" s="41" t="s">
        <v>851</v>
      </c>
      <c r="C183" s="42" t="s">
        <v>881</v>
      </c>
      <c r="D183" s="42" t="s">
        <v>888</v>
      </c>
      <c r="E183" s="43" t="s">
        <v>94</v>
      </c>
      <c r="F183" s="42" t="s">
        <v>251</v>
      </c>
      <c r="G183" s="41" t="s">
        <v>252</v>
      </c>
      <c r="H183" s="44" t="s">
        <v>884</v>
      </c>
      <c r="I183" s="45" t="s">
        <v>889</v>
      </c>
      <c r="J183" s="45" t="s">
        <v>890</v>
      </c>
      <c r="K183" s="47"/>
      <c r="L183" s="25"/>
      <c r="M183" s="25"/>
      <c r="N183" s="31" t="s">
        <v>84</v>
      </c>
      <c r="O183" s="25"/>
      <c r="P183" s="25"/>
      <c r="Q183" s="25"/>
    </row>
    <row r="184" spans="1:17" ht="26.25" customHeight="1">
      <c r="A184" s="40" t="s">
        <v>891</v>
      </c>
      <c r="B184" s="41" t="s">
        <v>851</v>
      </c>
      <c r="C184" s="42" t="s">
        <v>881</v>
      </c>
      <c r="D184" s="42" t="s">
        <v>892</v>
      </c>
      <c r="E184" s="43" t="s">
        <v>110</v>
      </c>
      <c r="F184" s="42" t="s">
        <v>111</v>
      </c>
      <c r="G184" s="41"/>
      <c r="H184" s="44" t="s">
        <v>884</v>
      </c>
      <c r="I184" s="45" t="s">
        <v>889</v>
      </c>
      <c r="J184" s="46" t="s">
        <v>893</v>
      </c>
      <c r="K184" s="47"/>
      <c r="L184" s="25"/>
      <c r="M184" s="25"/>
      <c r="N184" s="31" t="s">
        <v>84</v>
      </c>
      <c r="O184" s="25"/>
      <c r="P184" s="25"/>
      <c r="Q184" s="25"/>
    </row>
    <row r="185" spans="1:17" ht="53.25" customHeight="1">
      <c r="A185" s="40" t="s">
        <v>894</v>
      </c>
      <c r="B185" s="41" t="s">
        <v>851</v>
      </c>
      <c r="C185" s="42" t="s">
        <v>881</v>
      </c>
      <c r="D185" s="42" t="s">
        <v>895</v>
      </c>
      <c r="E185" s="43" t="s">
        <v>79</v>
      </c>
      <c r="F185" s="41" t="s">
        <v>896</v>
      </c>
      <c r="G185" s="41" t="s">
        <v>252</v>
      </c>
      <c r="H185" s="44" t="s">
        <v>897</v>
      </c>
      <c r="I185" s="45" t="s">
        <v>898</v>
      </c>
      <c r="J185" s="46" t="s">
        <v>899</v>
      </c>
      <c r="K185" s="47"/>
      <c r="L185" s="25"/>
      <c r="M185" s="25"/>
      <c r="N185" s="31" t="s">
        <v>84</v>
      </c>
      <c r="O185" s="25"/>
      <c r="P185" s="25"/>
      <c r="Q185" s="25"/>
    </row>
    <row r="186" spans="1:17" ht="26.25" customHeight="1">
      <c r="A186" s="24" t="s">
        <v>900</v>
      </c>
      <c r="B186" s="25" t="s">
        <v>851</v>
      </c>
      <c r="C186" s="26" t="s">
        <v>901</v>
      </c>
      <c r="D186" s="26" t="s">
        <v>902</v>
      </c>
      <c r="E186" s="27" t="s">
        <v>79</v>
      </c>
      <c r="F186" s="26" t="s">
        <v>903</v>
      </c>
      <c r="G186" s="25"/>
      <c r="H186" s="28" t="s">
        <v>904</v>
      </c>
      <c r="I186" s="29" t="s">
        <v>905</v>
      </c>
      <c r="J186" s="30" t="s">
        <v>906</v>
      </c>
      <c r="K186" s="25"/>
      <c r="L186" s="25"/>
      <c r="M186" s="25"/>
      <c r="N186" s="31" t="s">
        <v>84</v>
      </c>
      <c r="O186" s="25"/>
      <c r="P186" s="25"/>
      <c r="Q186" s="25"/>
    </row>
    <row r="187" spans="1:17" ht="26.25" customHeight="1">
      <c r="A187" s="24" t="s">
        <v>907</v>
      </c>
      <c r="B187" s="25" t="s">
        <v>851</v>
      </c>
      <c r="C187" s="26" t="s">
        <v>901</v>
      </c>
      <c r="D187" s="26" t="s">
        <v>237</v>
      </c>
      <c r="E187" s="27" t="s">
        <v>79</v>
      </c>
      <c r="F187" s="26" t="s">
        <v>854</v>
      </c>
      <c r="G187" s="25"/>
      <c r="H187" s="37" t="s">
        <v>904</v>
      </c>
      <c r="I187" s="38" t="s">
        <v>908</v>
      </c>
      <c r="J187" s="39" t="s">
        <v>909</v>
      </c>
      <c r="K187" s="25"/>
      <c r="L187" s="25"/>
      <c r="M187" s="25"/>
      <c r="N187" s="31" t="s">
        <v>84</v>
      </c>
      <c r="O187" s="25"/>
      <c r="P187" s="25"/>
      <c r="Q187" s="25"/>
    </row>
    <row r="188" spans="1:17" ht="39.75" customHeight="1">
      <c r="A188" s="24" t="s">
        <v>910</v>
      </c>
      <c r="B188" s="25" t="s">
        <v>851</v>
      </c>
      <c r="C188" s="26" t="s">
        <v>901</v>
      </c>
      <c r="D188" s="26" t="s">
        <v>86</v>
      </c>
      <c r="E188" s="27" t="s">
        <v>79</v>
      </c>
      <c r="F188" s="26" t="s">
        <v>854</v>
      </c>
      <c r="G188" s="25"/>
      <c r="H188" s="28" t="s">
        <v>911</v>
      </c>
      <c r="I188" s="29" t="s">
        <v>213</v>
      </c>
      <c r="J188" s="30" t="s">
        <v>243</v>
      </c>
      <c r="K188" s="25"/>
      <c r="L188" s="25"/>
      <c r="M188" s="25"/>
      <c r="N188" s="31" t="s">
        <v>84</v>
      </c>
      <c r="O188" s="25"/>
      <c r="P188" s="25"/>
      <c r="Q188" s="25"/>
    </row>
    <row r="189" spans="1:17" ht="26.25" customHeight="1">
      <c r="A189" s="24" t="s">
        <v>912</v>
      </c>
      <c r="B189" s="25" t="s">
        <v>851</v>
      </c>
      <c r="C189" s="26" t="s">
        <v>901</v>
      </c>
      <c r="D189" s="26" t="s">
        <v>245</v>
      </c>
      <c r="E189" s="27" t="s">
        <v>79</v>
      </c>
      <c r="F189" s="26" t="s">
        <v>854</v>
      </c>
      <c r="G189" s="25"/>
      <c r="H189" s="37" t="s">
        <v>904</v>
      </c>
      <c r="I189" s="33" t="s">
        <v>246</v>
      </c>
      <c r="J189" s="36" t="s">
        <v>913</v>
      </c>
      <c r="K189" s="48" t="s">
        <v>248</v>
      </c>
      <c r="L189" s="25"/>
      <c r="M189" s="25"/>
      <c r="N189" s="31" t="s">
        <v>84</v>
      </c>
      <c r="O189" s="25"/>
      <c r="P189" s="25"/>
      <c r="Q189" s="25"/>
    </row>
    <row r="190" spans="1:17" ht="39.75" customHeight="1">
      <c r="A190" s="24" t="s">
        <v>914</v>
      </c>
      <c r="B190" s="25" t="s">
        <v>851</v>
      </c>
      <c r="C190" s="26" t="s">
        <v>901</v>
      </c>
      <c r="D190" s="26" t="s">
        <v>250</v>
      </c>
      <c r="E190" s="27" t="s">
        <v>94</v>
      </c>
      <c r="F190" s="26" t="s">
        <v>915</v>
      </c>
      <c r="G190" s="25" t="s">
        <v>252</v>
      </c>
      <c r="H190" s="28" t="s">
        <v>904</v>
      </c>
      <c r="I190" s="29" t="s">
        <v>223</v>
      </c>
      <c r="J190" s="29" t="s">
        <v>916</v>
      </c>
      <c r="K190" s="25"/>
      <c r="L190" s="25"/>
      <c r="M190" s="25"/>
      <c r="N190" s="31" t="s">
        <v>84</v>
      </c>
      <c r="O190" s="25"/>
      <c r="P190" s="25"/>
      <c r="Q190" s="25"/>
    </row>
    <row r="191" spans="1:17" ht="53.25" customHeight="1">
      <c r="A191" s="24" t="s">
        <v>917</v>
      </c>
      <c r="B191" s="25" t="s">
        <v>851</v>
      </c>
      <c r="C191" s="26" t="s">
        <v>901</v>
      </c>
      <c r="D191" s="26" t="s">
        <v>100</v>
      </c>
      <c r="E191" s="27" t="s">
        <v>79</v>
      </c>
      <c r="F191" s="26" t="s">
        <v>101</v>
      </c>
      <c r="G191" s="25"/>
      <c r="H191" s="28" t="s">
        <v>904</v>
      </c>
      <c r="I191" s="29" t="s">
        <v>223</v>
      </c>
      <c r="J191" s="30" t="s">
        <v>918</v>
      </c>
      <c r="K191" s="25"/>
      <c r="L191" s="25"/>
      <c r="M191" s="25"/>
      <c r="N191" s="31" t="s">
        <v>84</v>
      </c>
      <c r="O191" s="25"/>
      <c r="P191" s="25"/>
      <c r="Q191" s="25"/>
    </row>
    <row r="192" spans="1:17" ht="80.25" customHeight="1">
      <c r="A192" s="24" t="s">
        <v>919</v>
      </c>
      <c r="B192" s="25" t="s">
        <v>851</v>
      </c>
      <c r="C192" s="26" t="s">
        <v>901</v>
      </c>
      <c r="D192" s="26" t="s">
        <v>104</v>
      </c>
      <c r="E192" s="27" t="s">
        <v>105</v>
      </c>
      <c r="F192" s="26" t="s">
        <v>106</v>
      </c>
      <c r="G192" s="25"/>
      <c r="H192" s="37" t="s">
        <v>904</v>
      </c>
      <c r="I192" s="38" t="s">
        <v>229</v>
      </c>
      <c r="J192" s="39" t="s">
        <v>230</v>
      </c>
      <c r="K192" s="25"/>
      <c r="L192" s="25"/>
      <c r="M192" s="25"/>
      <c r="N192" s="31" t="s">
        <v>84</v>
      </c>
      <c r="O192" s="25"/>
      <c r="P192" s="25"/>
      <c r="Q192" s="25"/>
    </row>
    <row r="193" spans="1:17" ht="80.25" customHeight="1">
      <c r="A193" s="24" t="s">
        <v>920</v>
      </c>
      <c r="B193" s="25" t="s">
        <v>851</v>
      </c>
      <c r="C193" s="26" t="s">
        <v>901</v>
      </c>
      <c r="D193" s="26" t="s">
        <v>921</v>
      </c>
      <c r="E193" s="27" t="s">
        <v>110</v>
      </c>
      <c r="F193" s="26" t="s">
        <v>922</v>
      </c>
      <c r="G193" s="25"/>
      <c r="H193" s="28" t="s">
        <v>904</v>
      </c>
      <c r="I193" s="29" t="s">
        <v>223</v>
      </c>
      <c r="J193" s="30" t="s">
        <v>923</v>
      </c>
      <c r="K193" s="25"/>
      <c r="L193" s="25"/>
      <c r="M193" s="25"/>
      <c r="N193" s="31" t="s">
        <v>84</v>
      </c>
      <c r="O193" s="25"/>
      <c r="P193" s="25"/>
      <c r="Q193" s="25"/>
    </row>
    <row r="194" spans="1:17" ht="80.25" customHeight="1">
      <c r="A194" s="24" t="s">
        <v>924</v>
      </c>
      <c r="B194" s="25" t="s">
        <v>851</v>
      </c>
      <c r="C194" s="26" t="s">
        <v>925</v>
      </c>
      <c r="D194" s="26" t="s">
        <v>926</v>
      </c>
      <c r="E194" s="27" t="s">
        <v>79</v>
      </c>
      <c r="F194" s="26" t="s">
        <v>876</v>
      </c>
      <c r="G194" s="25"/>
      <c r="H194" s="28" t="s">
        <v>927</v>
      </c>
      <c r="I194" s="29" t="s">
        <v>928</v>
      </c>
      <c r="J194" s="30" t="s">
        <v>929</v>
      </c>
      <c r="K194" s="25"/>
      <c r="L194" s="25"/>
      <c r="M194" s="25"/>
      <c r="N194" s="31" t="s">
        <v>84</v>
      </c>
      <c r="O194" s="25"/>
      <c r="P194" s="25"/>
      <c r="Q194" s="25"/>
    </row>
    <row r="195" spans="1:17" ht="80.25" customHeight="1">
      <c r="A195" s="24" t="s">
        <v>930</v>
      </c>
      <c r="B195" s="25" t="s">
        <v>851</v>
      </c>
      <c r="C195" s="26" t="s">
        <v>925</v>
      </c>
      <c r="D195" s="26" t="s">
        <v>931</v>
      </c>
      <c r="E195" s="27" t="s">
        <v>94</v>
      </c>
      <c r="F195" s="26" t="s">
        <v>932</v>
      </c>
      <c r="G195" s="25" t="s">
        <v>252</v>
      </c>
      <c r="H195" s="28" t="s">
        <v>927</v>
      </c>
      <c r="I195" s="29" t="s">
        <v>928</v>
      </c>
      <c r="J195" s="29" t="s">
        <v>933</v>
      </c>
      <c r="K195" s="25"/>
      <c r="L195" s="25"/>
      <c r="M195" s="25"/>
      <c r="N195" s="31" t="s">
        <v>84</v>
      </c>
      <c r="O195" s="25"/>
      <c r="P195" s="25"/>
      <c r="Q195" s="25"/>
    </row>
    <row r="196" spans="1:17" ht="80.25" customHeight="1">
      <c r="A196" s="24" t="s">
        <v>934</v>
      </c>
      <c r="B196" s="25" t="s">
        <v>851</v>
      </c>
      <c r="C196" s="26" t="s">
        <v>925</v>
      </c>
      <c r="D196" s="26" t="s">
        <v>935</v>
      </c>
      <c r="E196" s="27" t="s">
        <v>110</v>
      </c>
      <c r="F196" s="26" t="s">
        <v>232</v>
      </c>
      <c r="G196" s="25"/>
      <c r="H196" s="28" t="s">
        <v>927</v>
      </c>
      <c r="I196" s="29" t="s">
        <v>928</v>
      </c>
      <c r="J196" s="30" t="s">
        <v>936</v>
      </c>
      <c r="K196" s="25"/>
      <c r="L196" s="25"/>
      <c r="M196" s="25"/>
      <c r="N196" s="31" t="s">
        <v>84</v>
      </c>
      <c r="O196" s="25"/>
      <c r="P196" s="25"/>
      <c r="Q196" s="25"/>
    </row>
    <row r="197" spans="1:17" ht="80.25" customHeight="1">
      <c r="A197" s="24" t="s">
        <v>937</v>
      </c>
      <c r="B197" s="25" t="s">
        <v>851</v>
      </c>
      <c r="C197" s="26" t="s">
        <v>925</v>
      </c>
      <c r="D197" s="26" t="s">
        <v>938</v>
      </c>
      <c r="E197" s="27" t="s">
        <v>79</v>
      </c>
      <c r="F197" s="26" t="s">
        <v>876</v>
      </c>
      <c r="G197" s="25"/>
      <c r="H197" s="28" t="s">
        <v>939</v>
      </c>
      <c r="I197" s="29" t="s">
        <v>940</v>
      </c>
      <c r="J197" s="30" t="s">
        <v>941</v>
      </c>
      <c r="K197" s="25"/>
      <c r="L197" s="25"/>
      <c r="M197" s="25"/>
      <c r="N197" s="31" t="s">
        <v>84</v>
      </c>
      <c r="O197" s="25"/>
      <c r="P197" s="25"/>
      <c r="Q197" s="25"/>
    </row>
    <row r="198" spans="1:17" ht="53.25" customHeight="1">
      <c r="A198" s="24" t="s">
        <v>942</v>
      </c>
      <c r="B198" s="25" t="s">
        <v>851</v>
      </c>
      <c r="C198" s="26" t="s">
        <v>925</v>
      </c>
      <c r="D198" s="26" t="s">
        <v>943</v>
      </c>
      <c r="E198" s="27" t="s">
        <v>94</v>
      </c>
      <c r="F198" s="26" t="s">
        <v>932</v>
      </c>
      <c r="G198" s="25" t="s">
        <v>252</v>
      </c>
      <c r="H198" s="28" t="s">
        <v>939</v>
      </c>
      <c r="I198" s="29" t="s">
        <v>940</v>
      </c>
      <c r="J198" s="29" t="s">
        <v>944</v>
      </c>
      <c r="K198" s="25"/>
      <c r="L198" s="25"/>
      <c r="M198" s="25"/>
      <c r="N198" s="31" t="s">
        <v>84</v>
      </c>
      <c r="O198" s="25"/>
      <c r="P198" s="25"/>
      <c r="Q198" s="25"/>
    </row>
    <row r="199" spans="1:17" ht="39.75" customHeight="1">
      <c r="A199" s="24" t="s">
        <v>945</v>
      </c>
      <c r="B199" s="25" t="s">
        <v>851</v>
      </c>
      <c r="C199" s="26" t="s">
        <v>925</v>
      </c>
      <c r="D199" s="26" t="s">
        <v>946</v>
      </c>
      <c r="E199" s="27" t="s">
        <v>110</v>
      </c>
      <c r="F199" s="26" t="s">
        <v>232</v>
      </c>
      <c r="G199" s="25"/>
      <c r="H199" s="28" t="s">
        <v>939</v>
      </c>
      <c r="I199" s="29" t="s">
        <v>940</v>
      </c>
      <c r="J199" s="30" t="s">
        <v>947</v>
      </c>
      <c r="K199" s="25"/>
      <c r="L199" s="25"/>
      <c r="M199" s="25"/>
      <c r="N199" s="31" t="s">
        <v>84</v>
      </c>
      <c r="O199" s="25"/>
      <c r="P199" s="25"/>
      <c r="Q199" s="25"/>
    </row>
    <row r="200" spans="1:17" ht="26.25" customHeight="1">
      <c r="A200" s="24" t="s">
        <v>948</v>
      </c>
      <c r="B200" s="25" t="s">
        <v>851</v>
      </c>
      <c r="C200" s="26" t="s">
        <v>949</v>
      </c>
      <c r="D200" s="26" t="s">
        <v>950</v>
      </c>
      <c r="E200" s="27" t="s">
        <v>79</v>
      </c>
      <c r="F200" s="26" t="s">
        <v>876</v>
      </c>
      <c r="G200" s="25"/>
      <c r="H200" s="28" t="s">
        <v>951</v>
      </c>
      <c r="I200" s="29" t="s">
        <v>952</v>
      </c>
      <c r="J200" s="30" t="s">
        <v>953</v>
      </c>
      <c r="K200" s="25"/>
      <c r="L200" s="25"/>
      <c r="M200" s="25"/>
      <c r="N200" s="31" t="s">
        <v>84</v>
      </c>
      <c r="O200" s="25"/>
      <c r="P200" s="25"/>
      <c r="Q200" s="25"/>
    </row>
    <row r="201" spans="1:17" ht="26.25" customHeight="1">
      <c r="A201" s="24" t="s">
        <v>954</v>
      </c>
      <c r="B201" s="25" t="s">
        <v>851</v>
      </c>
      <c r="C201" s="26" t="s">
        <v>949</v>
      </c>
      <c r="D201" s="26" t="s">
        <v>955</v>
      </c>
      <c r="E201" s="27" t="s">
        <v>94</v>
      </c>
      <c r="F201" s="26" t="s">
        <v>932</v>
      </c>
      <c r="G201" s="25" t="s">
        <v>252</v>
      </c>
      <c r="H201" s="28" t="s">
        <v>951</v>
      </c>
      <c r="I201" s="29" t="s">
        <v>952</v>
      </c>
      <c r="J201" s="29" t="s">
        <v>956</v>
      </c>
      <c r="K201" s="25"/>
      <c r="L201" s="25"/>
      <c r="M201" s="25"/>
      <c r="N201" s="31" t="s">
        <v>84</v>
      </c>
      <c r="O201" s="25"/>
      <c r="P201" s="25"/>
      <c r="Q201" s="25"/>
    </row>
    <row r="202" spans="1:17" ht="26.25" customHeight="1">
      <c r="A202" s="24" t="s">
        <v>957</v>
      </c>
      <c r="B202" s="25" t="s">
        <v>851</v>
      </c>
      <c r="C202" s="26" t="s">
        <v>949</v>
      </c>
      <c r="D202" s="26" t="s">
        <v>958</v>
      </c>
      <c r="E202" s="27" t="s">
        <v>110</v>
      </c>
      <c r="F202" s="26" t="s">
        <v>232</v>
      </c>
      <c r="G202" s="25"/>
      <c r="H202" s="28" t="s">
        <v>951</v>
      </c>
      <c r="I202" s="29" t="s">
        <v>952</v>
      </c>
      <c r="J202" s="30" t="s">
        <v>959</v>
      </c>
      <c r="K202" s="25"/>
      <c r="L202" s="25"/>
      <c r="M202" s="25"/>
      <c r="N202" s="31" t="s">
        <v>84</v>
      </c>
      <c r="O202" s="25"/>
      <c r="P202" s="25"/>
      <c r="Q202" s="25"/>
    </row>
    <row r="203" spans="1:17" ht="39.75" customHeight="1">
      <c r="A203" s="24" t="s">
        <v>960</v>
      </c>
      <c r="B203" s="25" t="s">
        <v>851</v>
      </c>
      <c r="C203" s="26" t="s">
        <v>949</v>
      </c>
      <c r="D203" s="26" t="s">
        <v>961</v>
      </c>
      <c r="E203" s="27" t="s">
        <v>79</v>
      </c>
      <c r="F203" s="26" t="s">
        <v>876</v>
      </c>
      <c r="G203" s="25"/>
      <c r="H203" s="28" t="s">
        <v>962</v>
      </c>
      <c r="I203" s="29" t="s">
        <v>963</v>
      </c>
      <c r="J203" s="30" t="s">
        <v>964</v>
      </c>
      <c r="K203" s="25"/>
      <c r="L203" s="25"/>
      <c r="M203" s="25"/>
      <c r="N203" s="31" t="s">
        <v>84</v>
      </c>
      <c r="O203" s="25"/>
      <c r="P203" s="25"/>
      <c r="Q203" s="25"/>
    </row>
    <row r="204" spans="1:17" ht="26.25" customHeight="1">
      <c r="A204" s="24" t="s">
        <v>965</v>
      </c>
      <c r="B204" s="25" t="s">
        <v>851</v>
      </c>
      <c r="C204" s="26" t="s">
        <v>949</v>
      </c>
      <c r="D204" s="26" t="s">
        <v>966</v>
      </c>
      <c r="E204" s="27" t="s">
        <v>94</v>
      </c>
      <c r="F204" s="26" t="s">
        <v>932</v>
      </c>
      <c r="G204" s="25" t="s">
        <v>252</v>
      </c>
      <c r="H204" s="28" t="s">
        <v>962</v>
      </c>
      <c r="I204" s="29" t="s">
        <v>963</v>
      </c>
      <c r="J204" s="29" t="s">
        <v>967</v>
      </c>
      <c r="K204" s="25"/>
      <c r="L204" s="25"/>
      <c r="M204" s="25"/>
      <c r="N204" s="31" t="s">
        <v>84</v>
      </c>
      <c r="O204" s="25"/>
      <c r="P204" s="25"/>
      <c r="Q204" s="25"/>
    </row>
    <row r="205" spans="1:17" ht="26.25" customHeight="1">
      <c r="A205" s="24" t="s">
        <v>968</v>
      </c>
      <c r="B205" s="25" t="s">
        <v>851</v>
      </c>
      <c r="C205" s="26" t="s">
        <v>949</v>
      </c>
      <c r="D205" s="26" t="s">
        <v>969</v>
      </c>
      <c r="E205" s="27" t="s">
        <v>110</v>
      </c>
      <c r="F205" s="26" t="s">
        <v>232</v>
      </c>
      <c r="G205" s="25"/>
      <c r="H205" s="28" t="s">
        <v>962</v>
      </c>
      <c r="I205" s="29" t="s">
        <v>963</v>
      </c>
      <c r="J205" s="30" t="s">
        <v>970</v>
      </c>
      <c r="K205" s="25"/>
      <c r="L205" s="25"/>
      <c r="M205" s="25"/>
      <c r="N205" s="31" t="s">
        <v>84</v>
      </c>
      <c r="O205" s="25"/>
      <c r="P205" s="25"/>
      <c r="Q205" s="25"/>
    </row>
    <row r="206" spans="1:17" ht="26.25" customHeight="1">
      <c r="A206" s="40" t="s">
        <v>971</v>
      </c>
      <c r="B206" s="41" t="s">
        <v>851</v>
      </c>
      <c r="C206" s="42" t="s">
        <v>949</v>
      </c>
      <c r="D206" s="42" t="s">
        <v>972</v>
      </c>
      <c r="E206" s="43" t="s">
        <v>79</v>
      </c>
      <c r="F206" s="42" t="s">
        <v>973</v>
      </c>
      <c r="G206" s="41" t="s">
        <v>252</v>
      </c>
      <c r="H206" s="44" t="s">
        <v>974</v>
      </c>
      <c r="I206" s="57" t="s">
        <v>975</v>
      </c>
      <c r="J206" s="44" t="s">
        <v>976</v>
      </c>
      <c r="K206" s="47"/>
      <c r="L206" s="25"/>
      <c r="M206" s="25"/>
      <c r="N206" s="31" t="s">
        <v>84</v>
      </c>
      <c r="O206" s="25"/>
      <c r="P206" s="25"/>
      <c r="Q206" s="25"/>
    </row>
    <row r="207" spans="1:17" ht="26.25" customHeight="1">
      <c r="A207" s="24" t="s">
        <v>977</v>
      </c>
      <c r="B207" s="25" t="s">
        <v>851</v>
      </c>
      <c r="C207" s="26" t="s">
        <v>978</v>
      </c>
      <c r="D207" s="26" t="s">
        <v>979</v>
      </c>
      <c r="E207" s="27" t="s">
        <v>79</v>
      </c>
      <c r="F207" s="26" t="s">
        <v>854</v>
      </c>
      <c r="G207" s="25"/>
      <c r="H207" s="28" t="s">
        <v>980</v>
      </c>
      <c r="I207" s="29" t="s">
        <v>981</v>
      </c>
      <c r="J207" s="30" t="s">
        <v>982</v>
      </c>
      <c r="K207" s="25"/>
      <c r="L207" s="25"/>
      <c r="M207" s="25"/>
      <c r="N207" s="31" t="s">
        <v>84</v>
      </c>
      <c r="O207" s="25"/>
      <c r="P207" s="25"/>
      <c r="Q207" s="25"/>
    </row>
    <row r="208" spans="1:17" ht="26.25" customHeight="1">
      <c r="A208" s="24" t="s">
        <v>983</v>
      </c>
      <c r="B208" s="25" t="s">
        <v>851</v>
      </c>
      <c r="C208" s="26" t="s">
        <v>978</v>
      </c>
      <c r="D208" s="26" t="s">
        <v>984</v>
      </c>
      <c r="E208" s="27" t="s">
        <v>79</v>
      </c>
      <c r="F208" s="26" t="s">
        <v>854</v>
      </c>
      <c r="G208" s="25"/>
      <c r="H208" s="28" t="s">
        <v>985</v>
      </c>
      <c r="I208" s="29" t="s">
        <v>986</v>
      </c>
      <c r="J208" s="30" t="s">
        <v>987</v>
      </c>
      <c r="K208" s="25"/>
      <c r="L208" s="25"/>
      <c r="M208" s="25"/>
      <c r="N208" s="31" t="s">
        <v>84</v>
      </c>
      <c r="O208" s="25"/>
      <c r="P208" s="25"/>
      <c r="Q208" s="25"/>
    </row>
    <row r="209" spans="1:17" ht="53.25" customHeight="1">
      <c r="A209" s="40" t="s">
        <v>988</v>
      </c>
      <c r="B209" s="41" t="s">
        <v>851</v>
      </c>
      <c r="C209" s="41" t="s">
        <v>989</v>
      </c>
      <c r="D209" s="41" t="s">
        <v>990</v>
      </c>
      <c r="E209" s="43" t="s">
        <v>79</v>
      </c>
      <c r="F209" s="41" t="s">
        <v>991</v>
      </c>
      <c r="G209" s="41"/>
      <c r="H209" s="44" t="s">
        <v>992</v>
      </c>
      <c r="I209" s="45" t="s">
        <v>993</v>
      </c>
      <c r="J209" s="46" t="s">
        <v>994</v>
      </c>
      <c r="K209" s="47"/>
      <c r="L209" s="25"/>
      <c r="M209" s="25"/>
      <c r="N209" s="31" t="s">
        <v>84</v>
      </c>
      <c r="O209" s="25"/>
      <c r="P209" s="25"/>
      <c r="Q209" s="25"/>
    </row>
    <row r="210" spans="1:17" ht="53.25" customHeight="1">
      <c r="A210" s="40" t="s">
        <v>995</v>
      </c>
      <c r="B210" s="41" t="s">
        <v>851</v>
      </c>
      <c r="C210" s="41" t="s">
        <v>989</v>
      </c>
      <c r="D210" s="42" t="s">
        <v>996</v>
      </c>
      <c r="E210" s="43" t="s">
        <v>79</v>
      </c>
      <c r="F210" s="41" t="s">
        <v>991</v>
      </c>
      <c r="G210" s="41"/>
      <c r="H210" s="44" t="s">
        <v>992</v>
      </c>
      <c r="I210" s="45" t="s">
        <v>997</v>
      </c>
      <c r="J210" s="45" t="s">
        <v>998</v>
      </c>
      <c r="K210" s="47"/>
      <c r="L210" s="25"/>
      <c r="M210" s="25"/>
      <c r="N210" s="31" t="s">
        <v>84</v>
      </c>
      <c r="O210" s="25"/>
      <c r="P210" s="25"/>
      <c r="Q210" s="25"/>
    </row>
    <row r="211" spans="1:17" ht="26.25" customHeight="1">
      <c r="A211" s="24" t="s">
        <v>999</v>
      </c>
      <c r="B211" s="25" t="s">
        <v>1000</v>
      </c>
      <c r="C211" s="26" t="s">
        <v>1001</v>
      </c>
      <c r="D211" s="26" t="s">
        <v>1002</v>
      </c>
      <c r="E211" s="27" t="s">
        <v>79</v>
      </c>
      <c r="F211" s="26" t="s">
        <v>101</v>
      </c>
      <c r="G211" s="25"/>
      <c r="H211" s="37" t="s">
        <v>1003</v>
      </c>
      <c r="I211" s="38" t="s">
        <v>1004</v>
      </c>
      <c r="J211" s="39" t="s">
        <v>1005</v>
      </c>
      <c r="K211" s="47"/>
      <c r="L211" s="25"/>
      <c r="M211" s="25"/>
      <c r="N211" s="31" t="s">
        <v>84</v>
      </c>
      <c r="O211" s="25"/>
      <c r="P211" s="25"/>
      <c r="Q211" s="25"/>
    </row>
    <row r="212" spans="1:17" ht="26.25" customHeight="1">
      <c r="A212" s="24" t="s">
        <v>1006</v>
      </c>
      <c r="B212" s="25" t="s">
        <v>1000</v>
      </c>
      <c r="C212" s="26" t="s">
        <v>1007</v>
      </c>
      <c r="D212" s="26" t="s">
        <v>1008</v>
      </c>
      <c r="E212" s="35" t="s">
        <v>79</v>
      </c>
      <c r="F212" s="26" t="s">
        <v>101</v>
      </c>
      <c r="G212" s="25"/>
      <c r="H212" s="28" t="s">
        <v>1009</v>
      </c>
      <c r="I212" s="29" t="s">
        <v>1010</v>
      </c>
      <c r="J212" s="30" t="s">
        <v>1011</v>
      </c>
      <c r="K212" s="25"/>
      <c r="L212" s="25"/>
      <c r="M212" s="25"/>
      <c r="N212" s="31" t="s">
        <v>84</v>
      </c>
      <c r="O212" s="25"/>
      <c r="P212" s="25"/>
      <c r="Q212" s="25"/>
    </row>
    <row r="213" spans="1:17" ht="26.25" customHeight="1">
      <c r="A213" s="24" t="s">
        <v>1012</v>
      </c>
      <c r="B213" s="25" t="s">
        <v>1000</v>
      </c>
      <c r="C213" s="26" t="s">
        <v>1007</v>
      </c>
      <c r="D213" s="26" t="s">
        <v>1013</v>
      </c>
      <c r="E213" s="27" t="s">
        <v>79</v>
      </c>
      <c r="F213" s="26" t="s">
        <v>1014</v>
      </c>
      <c r="G213" s="25"/>
      <c r="H213" s="28" t="s">
        <v>1009</v>
      </c>
      <c r="I213" s="29" t="s">
        <v>1015</v>
      </c>
      <c r="J213" s="30" t="s">
        <v>1016</v>
      </c>
      <c r="K213" s="25"/>
      <c r="L213" s="25"/>
      <c r="M213" s="25"/>
      <c r="N213" s="31" t="s">
        <v>84</v>
      </c>
      <c r="O213" s="25"/>
      <c r="P213" s="25"/>
      <c r="Q213" s="25"/>
    </row>
    <row r="214" spans="1:17" ht="26.25" customHeight="1">
      <c r="A214" s="24" t="s">
        <v>1017</v>
      </c>
      <c r="B214" s="25" t="s">
        <v>1000</v>
      </c>
      <c r="C214" s="26" t="s">
        <v>1007</v>
      </c>
      <c r="D214" s="26" t="s">
        <v>1018</v>
      </c>
      <c r="E214" s="27" t="s">
        <v>94</v>
      </c>
      <c r="F214" s="26" t="s">
        <v>1019</v>
      </c>
      <c r="G214" s="25" t="s">
        <v>565</v>
      </c>
      <c r="H214" s="28" t="s">
        <v>1009</v>
      </c>
      <c r="I214" s="29" t="s">
        <v>1015</v>
      </c>
      <c r="J214" s="29" t="s">
        <v>1020</v>
      </c>
      <c r="K214" s="25"/>
      <c r="L214" s="25"/>
      <c r="M214" s="25"/>
      <c r="N214" s="31" t="s">
        <v>84</v>
      </c>
      <c r="O214" s="25"/>
      <c r="P214" s="25"/>
      <c r="Q214" s="25"/>
    </row>
    <row r="215" spans="1:17" ht="26.25" customHeight="1">
      <c r="A215" s="24" t="s">
        <v>1021</v>
      </c>
      <c r="B215" s="25" t="s">
        <v>1000</v>
      </c>
      <c r="C215" s="26" t="s">
        <v>1007</v>
      </c>
      <c r="D215" s="26" t="s">
        <v>1022</v>
      </c>
      <c r="E215" s="27" t="s">
        <v>79</v>
      </c>
      <c r="F215" s="26" t="s">
        <v>101</v>
      </c>
      <c r="G215" s="25"/>
      <c r="H215" s="28" t="s">
        <v>1023</v>
      </c>
      <c r="I215" s="29" t="s">
        <v>1024</v>
      </c>
      <c r="J215" s="30" t="s">
        <v>1025</v>
      </c>
      <c r="K215" s="25"/>
      <c r="L215" s="25"/>
      <c r="M215" s="25"/>
      <c r="N215" s="31" t="s">
        <v>84</v>
      </c>
      <c r="O215" s="25"/>
      <c r="P215" s="25"/>
      <c r="Q215" s="25"/>
    </row>
    <row r="216" spans="1:17" ht="26.25" customHeight="1">
      <c r="A216" s="24" t="s">
        <v>1026</v>
      </c>
      <c r="B216" s="25" t="s">
        <v>1000</v>
      </c>
      <c r="C216" s="26" t="s">
        <v>1007</v>
      </c>
      <c r="D216" s="26" t="s">
        <v>1027</v>
      </c>
      <c r="E216" s="27" t="s">
        <v>79</v>
      </c>
      <c r="F216" s="26" t="s">
        <v>1014</v>
      </c>
      <c r="G216" s="25"/>
      <c r="H216" s="28" t="s">
        <v>1023</v>
      </c>
      <c r="I216" s="29" t="s">
        <v>1028</v>
      </c>
      <c r="J216" s="30" t="s">
        <v>1029</v>
      </c>
      <c r="K216" s="25"/>
      <c r="L216" s="25"/>
      <c r="M216" s="25"/>
      <c r="N216" s="31" t="s">
        <v>84</v>
      </c>
      <c r="O216" s="25"/>
      <c r="P216" s="25"/>
      <c r="Q216" s="25"/>
    </row>
    <row r="217" spans="1:17" ht="26.25" customHeight="1">
      <c r="A217" s="24" t="s">
        <v>1030</v>
      </c>
      <c r="B217" s="25" t="s">
        <v>1000</v>
      </c>
      <c r="C217" s="26" t="s">
        <v>1007</v>
      </c>
      <c r="D217" s="26" t="s">
        <v>1031</v>
      </c>
      <c r="E217" s="27" t="s">
        <v>94</v>
      </c>
      <c r="F217" s="26" t="s">
        <v>1019</v>
      </c>
      <c r="G217" s="25" t="s">
        <v>565</v>
      </c>
      <c r="H217" s="28" t="s">
        <v>1023</v>
      </c>
      <c r="I217" s="29" t="s">
        <v>1028</v>
      </c>
      <c r="J217" s="29" t="s">
        <v>614</v>
      </c>
      <c r="K217" s="25"/>
      <c r="L217" s="25"/>
      <c r="M217" s="25"/>
      <c r="N217" s="31" t="s">
        <v>84</v>
      </c>
      <c r="O217" s="25"/>
      <c r="P217" s="25"/>
      <c r="Q217" s="25"/>
    </row>
    <row r="218" spans="1:17" ht="26.25" customHeight="1">
      <c r="A218" s="24" t="s">
        <v>1032</v>
      </c>
      <c r="B218" s="25" t="s">
        <v>1000</v>
      </c>
      <c r="C218" s="26" t="s">
        <v>1001</v>
      </c>
      <c r="D218" s="26" t="s">
        <v>1033</v>
      </c>
      <c r="E218" s="35" t="s">
        <v>79</v>
      </c>
      <c r="F218" s="26" t="s">
        <v>101</v>
      </c>
      <c r="G218" s="25"/>
      <c r="H218" s="37" t="s">
        <v>1034</v>
      </c>
      <c r="I218" s="38" t="s">
        <v>1035</v>
      </c>
      <c r="J218" s="39" t="s">
        <v>1036</v>
      </c>
      <c r="K218" s="25"/>
      <c r="L218" s="25"/>
      <c r="M218" s="25"/>
      <c r="N218" s="31" t="s">
        <v>84</v>
      </c>
      <c r="O218" s="25"/>
      <c r="P218" s="25"/>
      <c r="Q218" s="25"/>
    </row>
    <row r="219" spans="1:17" ht="26.25" customHeight="1">
      <c r="A219" s="24" t="s">
        <v>1037</v>
      </c>
      <c r="B219" s="25" t="s">
        <v>1000</v>
      </c>
      <c r="C219" s="26" t="s">
        <v>1001</v>
      </c>
      <c r="D219" s="26" t="s">
        <v>1038</v>
      </c>
      <c r="E219" s="27" t="s">
        <v>79</v>
      </c>
      <c r="F219" s="26" t="s">
        <v>101</v>
      </c>
      <c r="G219" s="25"/>
      <c r="H219" s="37" t="s">
        <v>1039</v>
      </c>
      <c r="I219" s="38" t="s">
        <v>1040</v>
      </c>
      <c r="J219" s="39" t="s">
        <v>1041</v>
      </c>
      <c r="K219" s="25"/>
      <c r="L219" s="25"/>
      <c r="M219" s="25"/>
      <c r="N219" s="31" t="s">
        <v>84</v>
      </c>
      <c r="O219" s="25"/>
      <c r="P219" s="25"/>
      <c r="Q219" s="25"/>
    </row>
    <row r="220" spans="1:17" ht="26.25" customHeight="1">
      <c r="A220" s="24" t="s">
        <v>1042</v>
      </c>
      <c r="B220" s="25" t="s">
        <v>1000</v>
      </c>
      <c r="C220" s="26" t="s">
        <v>1043</v>
      </c>
      <c r="D220" s="26" t="s">
        <v>1044</v>
      </c>
      <c r="E220" s="27" t="s">
        <v>79</v>
      </c>
      <c r="F220" s="26" t="s">
        <v>101</v>
      </c>
      <c r="G220" s="25"/>
      <c r="H220" s="28" t="s">
        <v>1045</v>
      </c>
      <c r="I220" s="29" t="s">
        <v>1046</v>
      </c>
      <c r="J220" s="30" t="s">
        <v>1047</v>
      </c>
      <c r="K220" s="25"/>
      <c r="L220" s="25"/>
      <c r="M220" s="25"/>
      <c r="N220" s="31" t="s">
        <v>84</v>
      </c>
      <c r="O220" s="25"/>
      <c r="P220" s="25"/>
      <c r="Q220" s="25"/>
    </row>
    <row r="221" spans="1:17" ht="26.25" customHeight="1">
      <c r="A221" s="24" t="s">
        <v>1048</v>
      </c>
      <c r="B221" s="25" t="s">
        <v>1000</v>
      </c>
      <c r="C221" s="26" t="s">
        <v>1043</v>
      </c>
      <c r="D221" s="26" t="s">
        <v>1049</v>
      </c>
      <c r="E221" s="27" t="s">
        <v>94</v>
      </c>
      <c r="F221" s="26" t="s">
        <v>1050</v>
      </c>
      <c r="G221" s="25" t="s">
        <v>252</v>
      </c>
      <c r="H221" s="28" t="s">
        <v>1045</v>
      </c>
      <c r="I221" s="29" t="s">
        <v>1046</v>
      </c>
      <c r="J221" s="29" t="s">
        <v>1051</v>
      </c>
      <c r="K221" s="25"/>
      <c r="L221" s="25"/>
      <c r="M221" s="25"/>
      <c r="N221" s="31" t="s">
        <v>84</v>
      </c>
      <c r="O221" s="25"/>
      <c r="P221" s="25"/>
      <c r="Q221" s="25"/>
    </row>
    <row r="222" spans="1:17" ht="39.75" customHeight="1">
      <c r="A222" s="24" t="s">
        <v>1052</v>
      </c>
      <c r="B222" s="25" t="s">
        <v>1000</v>
      </c>
      <c r="C222" s="26" t="s">
        <v>1043</v>
      </c>
      <c r="D222" s="26" t="s">
        <v>1053</v>
      </c>
      <c r="E222" s="27" t="s">
        <v>110</v>
      </c>
      <c r="F222" s="26" t="s">
        <v>1054</v>
      </c>
      <c r="G222" s="25"/>
      <c r="H222" s="28" t="s">
        <v>1045</v>
      </c>
      <c r="I222" s="29" t="s">
        <v>1046</v>
      </c>
      <c r="J222" s="30" t="s">
        <v>1055</v>
      </c>
      <c r="K222" s="25"/>
      <c r="L222" s="25"/>
      <c r="M222" s="25"/>
      <c r="N222" s="31" t="s">
        <v>84</v>
      </c>
      <c r="O222" s="25"/>
      <c r="P222" s="25"/>
      <c r="Q222" s="25"/>
    </row>
    <row r="223" spans="1:17" ht="66" customHeight="1">
      <c r="A223" s="24" t="s">
        <v>1056</v>
      </c>
      <c r="B223" s="25" t="s">
        <v>1000</v>
      </c>
      <c r="C223" s="26" t="s">
        <v>1001</v>
      </c>
      <c r="D223" s="26" t="s">
        <v>1057</v>
      </c>
      <c r="E223" s="27" t="s">
        <v>79</v>
      </c>
      <c r="F223" s="26" t="s">
        <v>101</v>
      </c>
      <c r="G223" s="25"/>
      <c r="H223" s="37" t="s">
        <v>1003</v>
      </c>
      <c r="I223" s="38" t="s">
        <v>1058</v>
      </c>
      <c r="J223" s="39" t="s">
        <v>1059</v>
      </c>
      <c r="K223" s="25"/>
      <c r="L223" s="25"/>
      <c r="M223" s="25"/>
      <c r="N223" s="31" t="s">
        <v>84</v>
      </c>
      <c r="O223" s="25"/>
      <c r="P223" s="25"/>
      <c r="Q223" s="25"/>
    </row>
    <row r="224" spans="1:17" ht="15" customHeight="1">
      <c r="A224" s="24" t="s">
        <v>1060</v>
      </c>
      <c r="B224" s="25" t="s">
        <v>1000</v>
      </c>
      <c r="C224" s="26" t="s">
        <v>1001</v>
      </c>
      <c r="D224" s="26" t="s">
        <v>1061</v>
      </c>
      <c r="E224" s="27" t="s">
        <v>155</v>
      </c>
      <c r="F224" s="26" t="s">
        <v>101</v>
      </c>
      <c r="G224" s="25"/>
      <c r="H224" s="37" t="s">
        <v>1062</v>
      </c>
      <c r="I224" s="38" t="s">
        <v>1063</v>
      </c>
      <c r="J224" s="39" t="s">
        <v>1064</v>
      </c>
      <c r="K224" s="25"/>
      <c r="L224" s="25"/>
      <c r="M224" s="25"/>
      <c r="N224" s="31" t="s">
        <v>84</v>
      </c>
      <c r="O224" s="25"/>
      <c r="P224" s="25"/>
      <c r="Q224" s="25"/>
    </row>
    <row r="225" spans="1:17" ht="15" customHeight="1">
      <c r="A225" s="24" t="s">
        <v>1065</v>
      </c>
      <c r="B225" s="25" t="s">
        <v>1000</v>
      </c>
      <c r="C225" s="26" t="s">
        <v>1066</v>
      </c>
      <c r="D225" s="26" t="s">
        <v>1067</v>
      </c>
      <c r="E225" s="35" t="s">
        <v>79</v>
      </c>
      <c r="F225" s="26" t="s">
        <v>101</v>
      </c>
      <c r="G225" s="25"/>
      <c r="H225" s="28" t="s">
        <v>1068</v>
      </c>
      <c r="I225" s="29" t="s">
        <v>1069</v>
      </c>
      <c r="J225" s="30" t="s">
        <v>1070</v>
      </c>
      <c r="K225" s="25"/>
      <c r="L225" s="25"/>
      <c r="M225" s="25"/>
      <c r="N225" s="31" t="s">
        <v>84</v>
      </c>
      <c r="O225" s="25"/>
      <c r="P225" s="25"/>
      <c r="Q225" s="25"/>
    </row>
    <row r="226" spans="1:17" ht="15" customHeight="1">
      <c r="A226" s="24" t="s">
        <v>1071</v>
      </c>
      <c r="B226" s="25" t="s">
        <v>1000</v>
      </c>
      <c r="C226" s="26" t="s">
        <v>1066</v>
      </c>
      <c r="D226" s="26" t="s">
        <v>1072</v>
      </c>
      <c r="E226" s="27" t="s">
        <v>79</v>
      </c>
      <c r="F226" s="26" t="s">
        <v>101</v>
      </c>
      <c r="G226" s="25"/>
      <c r="H226" s="37" t="s">
        <v>1073</v>
      </c>
      <c r="I226" s="38" t="s">
        <v>1074</v>
      </c>
      <c r="J226" s="39" t="s">
        <v>1075</v>
      </c>
      <c r="K226" s="47"/>
      <c r="L226" s="25"/>
      <c r="M226" s="25"/>
      <c r="N226" s="31" t="s">
        <v>84</v>
      </c>
      <c r="O226" s="25"/>
      <c r="P226" s="25"/>
      <c r="Q226" s="25"/>
    </row>
    <row r="227" spans="1:17" ht="15" customHeight="1">
      <c r="A227" s="24" t="s">
        <v>1076</v>
      </c>
      <c r="B227" s="25" t="s">
        <v>1000</v>
      </c>
      <c r="C227" s="26" t="s">
        <v>1066</v>
      </c>
      <c r="D227" s="26" t="s">
        <v>1077</v>
      </c>
      <c r="E227" s="27" t="s">
        <v>79</v>
      </c>
      <c r="F227" s="26" t="s">
        <v>101</v>
      </c>
      <c r="G227" s="25"/>
      <c r="H227" s="28" t="s">
        <v>1078</v>
      </c>
      <c r="I227" s="29" t="s">
        <v>1079</v>
      </c>
      <c r="J227" s="30" t="s">
        <v>1080</v>
      </c>
      <c r="K227" s="25"/>
      <c r="L227" s="25"/>
      <c r="M227" s="25"/>
      <c r="N227" s="31" t="s">
        <v>84</v>
      </c>
      <c r="O227" s="25"/>
      <c r="P227" s="25"/>
      <c r="Q227" s="25"/>
    </row>
    <row r="228" spans="1:17" ht="15" customHeight="1">
      <c r="A228" s="24" t="s">
        <v>1081</v>
      </c>
      <c r="B228" s="25" t="s">
        <v>1000</v>
      </c>
      <c r="C228" s="26" t="s">
        <v>1066</v>
      </c>
      <c r="D228" s="26" t="s">
        <v>1082</v>
      </c>
      <c r="E228" s="27" t="s">
        <v>79</v>
      </c>
      <c r="F228" s="26" t="s">
        <v>101</v>
      </c>
      <c r="G228" s="25"/>
      <c r="H228" s="28" t="s">
        <v>1083</v>
      </c>
      <c r="I228" s="29" t="s">
        <v>1084</v>
      </c>
      <c r="J228" s="30" t="s">
        <v>1085</v>
      </c>
      <c r="K228" s="25"/>
      <c r="L228" s="25"/>
      <c r="M228" s="25"/>
      <c r="N228" s="31" t="s">
        <v>84</v>
      </c>
      <c r="O228" s="25"/>
      <c r="P228" s="25"/>
      <c r="Q228" s="25"/>
    </row>
    <row r="229" spans="1:17" ht="49.5" customHeight="1">
      <c r="A229" s="24" t="s">
        <v>1086</v>
      </c>
      <c r="B229" s="25" t="s">
        <v>1000</v>
      </c>
      <c r="C229" s="26" t="s">
        <v>1066</v>
      </c>
      <c r="D229" s="26" t="s">
        <v>1087</v>
      </c>
      <c r="E229" s="27" t="s">
        <v>94</v>
      </c>
      <c r="F229" s="26" t="s">
        <v>1050</v>
      </c>
      <c r="G229" s="25" t="s">
        <v>252</v>
      </c>
      <c r="H229" s="48" t="s">
        <v>1073</v>
      </c>
      <c r="I229" s="47" t="s">
        <v>1074</v>
      </c>
      <c r="J229" s="47" t="s">
        <v>1088</v>
      </c>
      <c r="K229" s="47"/>
      <c r="L229" s="25"/>
      <c r="M229" s="25"/>
      <c r="N229" s="31" t="s">
        <v>84</v>
      </c>
      <c r="O229" s="25"/>
      <c r="P229" s="25"/>
      <c r="Q229" s="25"/>
    </row>
    <row r="230" spans="1:17" ht="49.5" customHeight="1">
      <c r="A230" s="24" t="s">
        <v>1089</v>
      </c>
      <c r="B230" s="25" t="s">
        <v>1000</v>
      </c>
      <c r="C230" s="26" t="s">
        <v>1066</v>
      </c>
      <c r="D230" s="26" t="s">
        <v>1090</v>
      </c>
      <c r="E230" s="27" t="s">
        <v>94</v>
      </c>
      <c r="F230" s="26" t="s">
        <v>1050</v>
      </c>
      <c r="G230" s="25" t="s">
        <v>252</v>
      </c>
      <c r="H230" s="26" t="s">
        <v>1078</v>
      </c>
      <c r="I230" s="58" t="s">
        <v>1079</v>
      </c>
      <c r="J230" s="58" t="s">
        <v>1091</v>
      </c>
      <c r="K230" s="25"/>
      <c r="L230" s="25"/>
      <c r="M230" s="25"/>
      <c r="N230" s="31" t="s">
        <v>84</v>
      </c>
      <c r="O230" s="25"/>
      <c r="P230" s="25"/>
      <c r="Q230" s="25"/>
    </row>
    <row r="231" spans="1:17" ht="49.5" customHeight="1">
      <c r="A231" s="24" t="s">
        <v>1092</v>
      </c>
      <c r="B231" s="25" t="s">
        <v>1000</v>
      </c>
      <c r="C231" s="26" t="s">
        <v>1066</v>
      </c>
      <c r="D231" s="26" t="s">
        <v>1093</v>
      </c>
      <c r="E231" s="27" t="s">
        <v>94</v>
      </c>
      <c r="F231" s="26" t="s">
        <v>1050</v>
      </c>
      <c r="G231" s="25" t="s">
        <v>252</v>
      </c>
      <c r="H231" s="28" t="s">
        <v>1083</v>
      </c>
      <c r="I231" s="29" t="s">
        <v>1084</v>
      </c>
      <c r="J231" s="29" t="s">
        <v>1094</v>
      </c>
      <c r="K231" s="25"/>
      <c r="L231" s="25"/>
      <c r="M231" s="25"/>
      <c r="N231" s="31" t="s">
        <v>84</v>
      </c>
      <c r="O231" s="25"/>
      <c r="P231" s="25"/>
      <c r="Q231" s="25"/>
    </row>
    <row r="232" spans="1:17" ht="49.5" customHeight="1">
      <c r="A232" s="24" t="s">
        <v>1095</v>
      </c>
      <c r="B232" s="25" t="s">
        <v>1000</v>
      </c>
      <c r="C232" s="26" t="s">
        <v>1066</v>
      </c>
      <c r="D232" s="26" t="s">
        <v>1096</v>
      </c>
      <c r="E232" s="27" t="s">
        <v>110</v>
      </c>
      <c r="F232" s="26" t="s">
        <v>1054</v>
      </c>
      <c r="G232" s="25"/>
      <c r="H232" s="37" t="s">
        <v>1073</v>
      </c>
      <c r="I232" s="38" t="s">
        <v>1074</v>
      </c>
      <c r="J232" s="39" t="s">
        <v>1097</v>
      </c>
      <c r="K232" s="47"/>
      <c r="L232" s="25"/>
      <c r="M232" s="25"/>
      <c r="N232" s="31" t="s">
        <v>84</v>
      </c>
      <c r="O232" s="25"/>
      <c r="P232" s="25"/>
      <c r="Q232" s="25"/>
    </row>
    <row r="233" spans="1:17" ht="49.5" customHeight="1">
      <c r="A233" s="24" t="s">
        <v>1098</v>
      </c>
      <c r="B233" s="25" t="s">
        <v>1000</v>
      </c>
      <c r="C233" s="26" t="s">
        <v>1066</v>
      </c>
      <c r="D233" s="26" t="s">
        <v>1099</v>
      </c>
      <c r="E233" s="27" t="s">
        <v>110</v>
      </c>
      <c r="F233" s="26" t="s">
        <v>1054</v>
      </c>
      <c r="G233" s="25"/>
      <c r="H233" s="28" t="s">
        <v>1078</v>
      </c>
      <c r="I233" s="29" t="s">
        <v>1079</v>
      </c>
      <c r="J233" s="30" t="s">
        <v>1100</v>
      </c>
      <c r="K233" s="25"/>
      <c r="L233" s="25"/>
      <c r="M233" s="25"/>
      <c r="N233" s="31" t="s">
        <v>84</v>
      </c>
      <c r="O233" s="25"/>
      <c r="P233" s="25"/>
      <c r="Q233" s="25"/>
    </row>
    <row r="234" spans="1:17" ht="49.5" customHeight="1">
      <c r="A234" s="24" t="s">
        <v>1101</v>
      </c>
      <c r="B234" s="25" t="s">
        <v>1000</v>
      </c>
      <c r="C234" s="26" t="s">
        <v>1066</v>
      </c>
      <c r="D234" s="26" t="s">
        <v>1102</v>
      </c>
      <c r="E234" s="27" t="s">
        <v>110</v>
      </c>
      <c r="F234" s="26" t="s">
        <v>1054</v>
      </c>
      <c r="G234" s="25"/>
      <c r="H234" s="28" t="s">
        <v>1083</v>
      </c>
      <c r="I234" s="29" t="s">
        <v>1084</v>
      </c>
      <c r="J234" s="30" t="s">
        <v>1103</v>
      </c>
      <c r="K234" s="25"/>
      <c r="L234" s="25"/>
      <c r="M234" s="25"/>
      <c r="N234" s="31" t="s">
        <v>84</v>
      </c>
      <c r="O234" s="25"/>
      <c r="P234" s="25"/>
      <c r="Q234" s="25"/>
    </row>
    <row r="235" spans="1:17" ht="49.5" customHeight="1">
      <c r="A235" s="40" t="s">
        <v>1104</v>
      </c>
      <c r="B235" s="41" t="s">
        <v>1000</v>
      </c>
      <c r="C235" s="42" t="s">
        <v>1001</v>
      </c>
      <c r="D235" s="42" t="s">
        <v>1105</v>
      </c>
      <c r="E235" s="43" t="s">
        <v>79</v>
      </c>
      <c r="F235" s="42" t="s">
        <v>1106</v>
      </c>
      <c r="G235" s="41"/>
      <c r="H235" s="44" t="s">
        <v>1107</v>
      </c>
      <c r="I235" s="45" t="s">
        <v>1108</v>
      </c>
      <c r="J235" s="46" t="s">
        <v>1109</v>
      </c>
      <c r="K235" s="47"/>
      <c r="L235" s="25"/>
      <c r="M235" s="25"/>
      <c r="N235" s="31" t="s">
        <v>84</v>
      </c>
      <c r="O235" s="25"/>
      <c r="P235" s="25"/>
      <c r="Q235" s="25"/>
    </row>
    <row r="236" spans="1:17" ht="49.5" customHeight="1">
      <c r="A236" s="59" t="s">
        <v>1110</v>
      </c>
    </row>
    <row r="237" spans="1:17" ht="15" customHeight="1">
      <c r="A237" s="16"/>
      <c r="B237" s="5" t="s">
        <v>26</v>
      </c>
      <c r="C237" s="5"/>
      <c r="D237" s="5"/>
      <c r="E237" s="5"/>
      <c r="F237" s="5"/>
      <c r="G237" s="5"/>
      <c r="H237" s="5"/>
    </row>
    <row r="238" spans="1:17" ht="15" customHeight="1">
      <c r="A238" s="17"/>
      <c r="B238" s="5" t="s">
        <v>27</v>
      </c>
      <c r="C238" s="5"/>
      <c r="D238" s="5"/>
      <c r="E238" s="5"/>
      <c r="F238" s="5"/>
      <c r="G238" s="5"/>
      <c r="H238" s="5"/>
    </row>
    <row r="239" spans="1:17" ht="15" customHeight="1">
      <c r="A239" s="18"/>
      <c r="B239" s="5" t="s">
        <v>28</v>
      </c>
      <c r="C239" s="5"/>
      <c r="D239" s="5"/>
      <c r="E239" s="5"/>
      <c r="F239" s="5"/>
      <c r="G239" s="5"/>
      <c r="H239" s="5"/>
    </row>
    <row r="240" spans="1:17" ht="15" customHeight="1"/>
    <row r="241" spans="1:12" ht="15" customHeight="1">
      <c r="A241" s="5" t="s">
        <v>1111</v>
      </c>
      <c r="B241" s="5"/>
      <c r="C241" s="5"/>
      <c r="D241" s="5"/>
      <c r="E241" s="5"/>
      <c r="F241" s="5"/>
      <c r="G241" s="5"/>
      <c r="H241" s="5"/>
      <c r="I241" s="5"/>
      <c r="J241" s="5"/>
      <c r="K241" s="5"/>
      <c r="L241" s="5"/>
    </row>
    <row r="242" spans="1:12" ht="15" customHeight="1">
      <c r="A242" s="5" t="s">
        <v>1112</v>
      </c>
      <c r="B242" s="5"/>
      <c r="C242" s="5"/>
      <c r="D242" s="5"/>
      <c r="E242" s="5"/>
      <c r="F242" s="5"/>
      <c r="G242" s="5"/>
      <c r="H242" s="5"/>
      <c r="I242" s="5"/>
      <c r="J242" s="5"/>
      <c r="K242" s="5"/>
      <c r="L242" s="5"/>
    </row>
  </sheetData>
  <autoFilter ref="E1:E228" xr:uid="{00000000-0009-0000-0000-000002000000}"/>
  <mergeCells count="5">
    <mergeCell ref="B237:H237"/>
    <mergeCell ref="B238:H238"/>
    <mergeCell ref="B239:H239"/>
    <mergeCell ref="A241:L241"/>
    <mergeCell ref="A242:L242"/>
  </mergeCells>
  <phoneticPr fontId="17"/>
  <dataValidations count="1">
    <dataValidation type="list" showErrorMessage="1" errorTitle="入力エラー" error="観点区分は5つから選択してください" promptTitle="観点区分" prompt="【表示】/【非表示】/【DB】/【遷移】/【履歴】から選択" sqref="E2:E222" xr:uid="{00000000-0002-0000-0200-000000000000}">
      <formula1>"【表示】,【非表示】,【DB】,【遷移】,【履歴】,【データ出力】"</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ワークシート</vt:lpstr>
      </vt:variant>
      <vt:variant>
        <vt:i4>3</vt:i4>
      </vt:variant>
    </vt:vector>
  </HeadingPairs>
  <TitlesOfParts>
    <vt:vector size="3" baseType="lpstr">
      <vt:lpstr>表紙</vt:lpstr>
      <vt:lpstr>試験仕様</vt:lpstr>
      <vt:lpstr>テスト項目一覧</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細谷 芽生</cp:lastModifiedBy>
  <cp:revision>0</cp:revision>
  <dcterms:created xsi:type="dcterms:W3CDTF">2026-07-23T02:21:55Z</dcterms:created>
  <dcterms:modified xsi:type="dcterms:W3CDTF">2026-07-23T08:58:52Z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0x0101003355BCCBC65C804784C31EE3EEBC17F0</vt:lpwstr>
  </property>
</Properties>
</file>